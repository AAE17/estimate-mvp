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+\grok-mvp\sample kacha bill\"/>
    </mc:Choice>
  </mc:AlternateContent>
  <bookViews>
    <workbookView xWindow="-120" yWindow="-120" windowWidth="29040" windowHeight="15720" activeTab="2"/>
  </bookViews>
  <sheets>
    <sheet name="mb-paver" sheetId="1" r:id="rId1"/>
    <sheet name="mb-cc road" sheetId="2" r:id="rId2"/>
    <sheet name="mb-gutter line" sheetId="3" r:id="rId3"/>
    <sheet name="mb-pipe line" sheetId="4" r:id="rId4"/>
  </sheets>
  <definedNames>
    <definedName name="_xlnm.Print_Area" localSheetId="1">'mb-cc road'!$A$1:$P$20</definedName>
    <definedName name="_xlnm.Print_Area" localSheetId="2">'mb-gutter line'!$A$1:$O$46</definedName>
    <definedName name="_xlnm.Print_Area" localSheetId="0">'mb-paver'!$A$1:$N$33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4" l="1"/>
  <c r="M29" i="4"/>
  <c r="M28" i="4"/>
  <c r="M27" i="4"/>
  <c r="M26" i="4"/>
  <c r="L29" i="4"/>
  <c r="L28" i="4"/>
  <c r="L27" i="4"/>
  <c r="L26" i="4"/>
  <c r="K29" i="4"/>
  <c r="K28" i="4"/>
  <c r="K27" i="4"/>
  <c r="K26" i="4"/>
  <c r="M3" i="4"/>
  <c r="E15" i="4"/>
  <c r="N20" i="4"/>
  <c r="M20" i="4"/>
  <c r="M19" i="4"/>
  <c r="M18" i="4"/>
  <c r="N17" i="4"/>
  <c r="M17" i="4"/>
  <c r="M16" i="4"/>
  <c r="M15" i="4"/>
  <c r="N14" i="4"/>
  <c r="M14" i="4"/>
  <c r="M13" i="4"/>
  <c r="M12" i="4"/>
  <c r="N11" i="4"/>
  <c r="C5" i="4" s="1"/>
  <c r="M11" i="4"/>
  <c r="M10" i="4"/>
  <c r="M9" i="4"/>
  <c r="K4" i="4"/>
  <c r="K5" i="4" s="1"/>
  <c r="M5" i="4" s="1"/>
  <c r="M4" i="4" l="1"/>
  <c r="M6" i="4" s="1"/>
  <c r="C7" i="4"/>
  <c r="C8" i="4"/>
  <c r="E8" i="4" s="1"/>
  <c r="C6" i="4"/>
  <c r="C11" i="4" s="1"/>
  <c r="E11" i="4" s="1"/>
  <c r="M21" i="4"/>
  <c r="M25" i="4" s="1"/>
  <c r="E5" i="4"/>
  <c r="C10" i="4"/>
  <c r="E10" i="4" s="1"/>
  <c r="F38" i="3"/>
  <c r="F37" i="3"/>
  <c r="F36" i="3"/>
  <c r="M10" i="3"/>
  <c r="K5" i="3"/>
  <c r="K4" i="3"/>
  <c r="D38" i="3"/>
  <c r="D37" i="3"/>
  <c r="E38" i="3"/>
  <c r="E37" i="3"/>
  <c r="K42" i="3"/>
  <c r="K41" i="3"/>
  <c r="K40" i="3"/>
  <c r="K39" i="3"/>
  <c r="K38" i="3"/>
  <c r="K37" i="3"/>
  <c r="C22" i="3"/>
  <c r="C21" i="3"/>
  <c r="C20" i="3"/>
  <c r="C19" i="3"/>
  <c r="N26" i="3"/>
  <c r="L42" i="3" s="1"/>
  <c r="M42" i="3" s="1"/>
  <c r="N23" i="3"/>
  <c r="C9" i="3" s="1"/>
  <c r="C16" i="3" s="1"/>
  <c r="N20" i="3"/>
  <c r="L40" i="3" s="1"/>
  <c r="M40" i="3" s="1"/>
  <c r="N17" i="3"/>
  <c r="L39" i="3" s="1"/>
  <c r="M39" i="3" s="1"/>
  <c r="N14" i="3"/>
  <c r="L38" i="3" s="1"/>
  <c r="M38" i="3" s="1"/>
  <c r="N11" i="3"/>
  <c r="C5" i="3" s="1"/>
  <c r="C12" i="3" s="1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9" i="3"/>
  <c r="M5" i="3"/>
  <c r="M4" i="3"/>
  <c r="M3" i="3"/>
  <c r="C6" i="3" l="1"/>
  <c r="C13" i="3" s="1"/>
  <c r="C3" i="4"/>
  <c r="E3" i="4" s="1"/>
  <c r="C2" i="4"/>
  <c r="E2" i="4" s="1"/>
  <c r="C13" i="4"/>
  <c r="E13" i="4" s="1"/>
  <c r="E6" i="4"/>
  <c r="C12" i="4"/>
  <c r="E12" i="4" s="1"/>
  <c r="E7" i="4"/>
  <c r="C10" i="3"/>
  <c r="C17" i="3" s="1"/>
  <c r="L41" i="3"/>
  <c r="M41" i="3" s="1"/>
  <c r="C8" i="3"/>
  <c r="C15" i="3" s="1"/>
  <c r="C7" i="3"/>
  <c r="C14" i="3" s="1"/>
  <c r="L37" i="3"/>
  <c r="M37" i="3" s="1"/>
  <c r="M43" i="3" s="1"/>
  <c r="M27" i="3"/>
  <c r="C3" i="3" s="1"/>
  <c r="M6" i="3"/>
  <c r="C2" i="3" s="1"/>
  <c r="F39" i="3"/>
  <c r="C26" i="3" s="1"/>
  <c r="C24" i="3"/>
  <c r="C25" i="3" s="1"/>
  <c r="M36" i="3" l="1"/>
  <c r="M44" i="3" s="1"/>
  <c r="C23" i="3" s="1"/>
  <c r="E27" i="3" l="1"/>
  <c r="E26" i="3"/>
  <c r="E25" i="3"/>
  <c r="E24" i="3"/>
  <c r="E23" i="3"/>
  <c r="E22" i="3"/>
  <c r="E21" i="3"/>
  <c r="E20" i="3"/>
  <c r="E19" i="3"/>
  <c r="E17" i="3"/>
  <c r="E16" i="3"/>
  <c r="E15" i="3"/>
  <c r="E14" i="3"/>
  <c r="E13" i="3"/>
  <c r="E12" i="3"/>
  <c r="E10" i="3"/>
  <c r="E9" i="3"/>
  <c r="E8" i="3"/>
  <c r="E7" i="3"/>
  <c r="E6" i="3"/>
  <c r="E5" i="3"/>
  <c r="E3" i="3"/>
  <c r="E2" i="3"/>
  <c r="E28" i="3" l="1"/>
  <c r="E29" i="3" s="1"/>
  <c r="I13" i="2"/>
  <c r="M10" i="2"/>
  <c r="L10" i="2"/>
  <c r="P10" i="2" s="1"/>
  <c r="J10" i="2"/>
  <c r="M9" i="2"/>
  <c r="L9" i="2"/>
  <c r="E9" i="2"/>
  <c r="M8" i="2"/>
  <c r="L8" i="2"/>
  <c r="P8" i="2" s="1"/>
  <c r="E8" i="2"/>
  <c r="M7" i="2"/>
  <c r="L7" i="2"/>
  <c r="M6" i="2"/>
  <c r="L6" i="2"/>
  <c r="M5" i="2"/>
  <c r="L5" i="2"/>
  <c r="N4" i="2"/>
  <c r="N5" i="2" s="1"/>
  <c r="N6" i="2" s="1"/>
  <c r="N7" i="2" s="1"/>
  <c r="M4" i="2"/>
  <c r="L4" i="2"/>
  <c r="I4" i="2"/>
  <c r="I5" i="2" s="1"/>
  <c r="M3" i="2"/>
  <c r="L3" i="2"/>
  <c r="J3" i="2"/>
  <c r="M2" i="2"/>
  <c r="H2" i="2"/>
  <c r="E30" i="3" l="1"/>
  <c r="P7" i="2"/>
  <c r="P9" i="2"/>
  <c r="O6" i="2"/>
  <c r="P4" i="2"/>
  <c r="P6" i="2"/>
  <c r="O5" i="2"/>
  <c r="P3" i="2"/>
  <c r="O3" i="2"/>
  <c r="J5" i="2"/>
  <c r="I6" i="2"/>
  <c r="O7" i="2"/>
  <c r="N8" i="2"/>
  <c r="N9" i="2" s="1"/>
  <c r="P5" i="2"/>
  <c r="O4" i="2"/>
  <c r="J4" i="2"/>
  <c r="L32" i="1"/>
  <c r="M32" i="1" s="1"/>
  <c r="H32" i="1"/>
  <c r="I32" i="1" s="1"/>
  <c r="L31" i="1"/>
  <c r="M31" i="1" s="1"/>
  <c r="H31" i="1"/>
  <c r="I31" i="1" s="1"/>
  <c r="L30" i="1"/>
  <c r="M30" i="1" s="1"/>
  <c r="H30" i="1"/>
  <c r="I30" i="1" s="1"/>
  <c r="L29" i="1"/>
  <c r="M29" i="1" s="1"/>
  <c r="H29" i="1"/>
  <c r="I29" i="1" s="1"/>
  <c r="L28" i="1"/>
  <c r="M28" i="1" s="1"/>
  <c r="L27" i="1"/>
  <c r="M27" i="1" s="1"/>
  <c r="L26" i="1"/>
  <c r="M26" i="1" s="1"/>
  <c r="L25" i="1"/>
  <c r="M25" i="1" s="1"/>
  <c r="L24" i="1"/>
  <c r="L23" i="1"/>
  <c r="M23" i="1" s="1"/>
  <c r="L22" i="1"/>
  <c r="L21" i="1"/>
  <c r="H28" i="1"/>
  <c r="H27" i="1"/>
  <c r="H26" i="1"/>
  <c r="H25" i="1"/>
  <c r="H24" i="1"/>
  <c r="H23" i="1"/>
  <c r="H22" i="1"/>
  <c r="H21" i="1"/>
  <c r="J3" i="1"/>
  <c r="K14" i="1"/>
  <c r="K13" i="1"/>
  <c r="K12" i="1"/>
  <c r="K11" i="1"/>
  <c r="K10" i="1"/>
  <c r="K9" i="1"/>
  <c r="K8" i="1"/>
  <c r="K7" i="1"/>
  <c r="K6" i="1"/>
  <c r="K5" i="1"/>
  <c r="K4" i="1"/>
  <c r="K3" i="1"/>
  <c r="L14" i="1"/>
  <c r="L13" i="1"/>
  <c r="L12" i="1"/>
  <c r="L11" i="1"/>
  <c r="L10" i="1"/>
  <c r="L9" i="1"/>
  <c r="L8" i="1"/>
  <c r="L7" i="1"/>
  <c r="L6" i="1"/>
  <c r="L5" i="1"/>
  <c r="L4" i="1"/>
  <c r="L3" i="1"/>
  <c r="O8" i="2" l="1"/>
  <c r="P11" i="2"/>
  <c r="G14" i="2" s="1"/>
  <c r="J14" i="2" s="1"/>
  <c r="J15" i="2" s="1"/>
  <c r="J16" i="2" s="1"/>
  <c r="G17" i="2" s="1"/>
  <c r="H17" i="2" s="1"/>
  <c r="L17" i="2" s="1"/>
  <c r="C3" i="2" s="1"/>
  <c r="N10" i="2"/>
  <c r="O10" i="2" s="1"/>
  <c r="O9" i="2"/>
  <c r="J6" i="2"/>
  <c r="I7" i="2"/>
  <c r="L15" i="1"/>
  <c r="G16" i="1" s="1"/>
  <c r="H16" i="1" s="1"/>
  <c r="L16" i="1" s="1"/>
  <c r="C3" i="1" s="1"/>
  <c r="K15" i="1"/>
  <c r="C4" i="1" s="1"/>
  <c r="M24" i="1"/>
  <c r="M21" i="1"/>
  <c r="M33" i="1" s="1"/>
  <c r="M22" i="1"/>
  <c r="I28" i="1"/>
  <c r="I27" i="1"/>
  <c r="I26" i="1"/>
  <c r="I25" i="1"/>
  <c r="I24" i="1"/>
  <c r="I23" i="1"/>
  <c r="I22" i="1"/>
  <c r="I21" i="1"/>
  <c r="H20" i="1"/>
  <c r="E7" i="1"/>
  <c r="E6" i="1"/>
  <c r="I4" i="1"/>
  <c r="I33" i="1" l="1"/>
  <c r="C5" i="1" s="1"/>
  <c r="E5" i="1" s="1"/>
  <c r="C5" i="2"/>
  <c r="E5" i="2" s="1"/>
  <c r="E3" i="2"/>
  <c r="J19" i="2"/>
  <c r="G20" i="2" s="1"/>
  <c r="H20" i="2" s="1"/>
  <c r="L20" i="2" s="1"/>
  <c r="C4" i="2" s="1"/>
  <c r="O11" i="2"/>
  <c r="C7" i="2" s="1"/>
  <c r="E7" i="2" s="1"/>
  <c r="I8" i="2"/>
  <c r="J7" i="2"/>
  <c r="E3" i="1"/>
  <c r="I5" i="1"/>
  <c r="J5" i="1" s="1"/>
  <c r="J4" i="1"/>
  <c r="E4" i="1"/>
  <c r="I6" i="1"/>
  <c r="J6" i="1" s="1"/>
  <c r="C6" i="2" l="1"/>
  <c r="E6" i="2" s="1"/>
  <c r="E4" i="2"/>
  <c r="I9" i="2"/>
  <c r="J9" i="2" s="1"/>
  <c r="J8" i="2"/>
  <c r="I7" i="1"/>
  <c r="J7" i="1" s="1"/>
  <c r="J11" i="2" l="1"/>
  <c r="C2" i="2" s="1"/>
  <c r="E2" i="2" s="1"/>
  <c r="E10" i="2" s="1"/>
  <c r="I8" i="1"/>
  <c r="J8" i="1" s="1"/>
  <c r="E11" i="2" l="1"/>
  <c r="E12" i="2" s="1"/>
  <c r="E14" i="2" s="1"/>
  <c r="I9" i="1"/>
  <c r="J9" i="1" s="1"/>
  <c r="I10" i="1" l="1"/>
  <c r="I11" i="1" l="1"/>
  <c r="J10" i="1"/>
  <c r="J11" i="1" l="1"/>
  <c r="I12" i="1"/>
  <c r="I13" i="1" l="1"/>
  <c r="J12" i="1"/>
  <c r="I14" i="1" l="1"/>
  <c r="J14" i="1" s="1"/>
  <c r="J13" i="1"/>
  <c r="J15" i="1" l="1"/>
  <c r="C2" i="1" s="1"/>
  <c r="E2" i="1" s="1"/>
  <c r="E8" i="1" s="1"/>
  <c r="E9" i="1" s="1"/>
  <c r="E10" i="1" s="1"/>
  <c r="E12" i="1" s="1"/>
  <c r="M31" i="4" l="1"/>
  <c r="C14" i="4" s="1"/>
  <c r="E14" i="4" s="1"/>
  <c r="E16" i="4" s="1"/>
  <c r="E17" i="4" l="1"/>
  <c r="E18" i="4" s="1"/>
</calcChain>
</file>

<file path=xl/sharedStrings.xml><?xml version="1.0" encoding="utf-8"?>
<sst xmlns="http://schemas.openxmlformats.org/spreadsheetml/2006/main" count="187" uniqueCount="96">
  <si>
    <t>EXCAVATION</t>
  </si>
  <si>
    <t>BLOCK</t>
  </si>
  <si>
    <t>VATA</t>
  </si>
  <si>
    <t>Test</t>
  </si>
  <si>
    <t>NAME PLATE</t>
  </si>
  <si>
    <t>18% GST</t>
  </si>
  <si>
    <t>Total</t>
  </si>
  <si>
    <t>Est</t>
  </si>
  <si>
    <t>Net</t>
  </si>
  <si>
    <t>Binding material</t>
  </si>
  <si>
    <t>Item No</t>
  </si>
  <si>
    <t>Box</t>
  </si>
  <si>
    <t>BOX CUTTING</t>
  </si>
  <si>
    <t xml:space="preserve">40 TO 63 </t>
  </si>
  <si>
    <t>MURRUM</t>
  </si>
  <si>
    <t>SPREADING</t>
  </si>
  <si>
    <t>1:02:4...</t>
  </si>
  <si>
    <t>TESTING</t>
  </si>
  <si>
    <t>ADD GST</t>
  </si>
  <si>
    <t>TOTAL</t>
  </si>
  <si>
    <t>EST</t>
  </si>
  <si>
    <t>NET</t>
  </si>
  <si>
    <t>ADD FOR VOIDS</t>
  </si>
  <si>
    <t>TOTAL QTY</t>
  </si>
  <si>
    <t>ITEM NO</t>
  </si>
  <si>
    <t>Demolition</t>
  </si>
  <si>
    <t>Excavation</t>
  </si>
  <si>
    <t>RCC Pipe</t>
  </si>
  <si>
    <t>Lowering</t>
  </si>
  <si>
    <t>Chamber</t>
  </si>
  <si>
    <t>Refilling</t>
  </si>
  <si>
    <t>Frame</t>
  </si>
  <si>
    <t>Cover</t>
  </si>
  <si>
    <t>CC Road</t>
  </si>
  <si>
    <t>Name Plate</t>
  </si>
  <si>
    <t>(4) 600</t>
  </si>
  <si>
    <t xml:space="preserve">(5) 900 </t>
  </si>
  <si>
    <t>(1) 0.60*0.60</t>
  </si>
  <si>
    <t>(2) 0.90*0.90</t>
  </si>
  <si>
    <t>(3) 1.30*0.90</t>
  </si>
  <si>
    <t>(4) 1.30*1.30</t>
  </si>
  <si>
    <t>No</t>
  </si>
  <si>
    <t>Length</t>
  </si>
  <si>
    <t>Width</t>
  </si>
  <si>
    <t>Depth/Thickness</t>
  </si>
  <si>
    <t>Total Qty</t>
  </si>
  <si>
    <t>Qty</t>
  </si>
  <si>
    <t xml:space="preserve">225 mm </t>
  </si>
  <si>
    <t xml:space="preserve">300 mm </t>
  </si>
  <si>
    <t xml:space="preserve">450 mm </t>
  </si>
  <si>
    <t xml:space="preserve">600 mm </t>
  </si>
  <si>
    <t xml:space="preserve">900 mm </t>
  </si>
  <si>
    <t xml:space="preserve">1200 mm </t>
  </si>
  <si>
    <t>Cmt</t>
  </si>
  <si>
    <t>Rmt</t>
  </si>
  <si>
    <t>0.6*0.60</t>
  </si>
  <si>
    <t>0.90*0.90</t>
  </si>
  <si>
    <t>1.30*0.9</t>
  </si>
  <si>
    <t>1.30*0.90</t>
  </si>
  <si>
    <t>RCC PIPE NP2</t>
  </si>
  <si>
    <t>(1)  225 mm</t>
  </si>
  <si>
    <t>(2)  300 mm</t>
  </si>
  <si>
    <t>(3)  450 mm</t>
  </si>
  <si>
    <t>(4) 600 mm</t>
  </si>
  <si>
    <t>(5) 900 mm</t>
  </si>
  <si>
    <t>(6) 1200 mm</t>
  </si>
  <si>
    <t>3+4</t>
  </si>
  <si>
    <t>Filling</t>
  </si>
  <si>
    <t>(1)  225</t>
  </si>
  <si>
    <t>(2)  300</t>
  </si>
  <si>
    <t>(3)  450</t>
  </si>
  <si>
    <t xml:space="preserve">(6) 1200 </t>
  </si>
  <si>
    <t>formula</t>
  </si>
  <si>
    <t>Dia*Dia*length</t>
  </si>
  <si>
    <t>Excavated Qty</t>
  </si>
  <si>
    <t>Net Qty</t>
  </si>
  <si>
    <t>5+7.1+7.2</t>
  </si>
  <si>
    <t>Nos</t>
  </si>
  <si>
    <t>(2)  75 mm</t>
  </si>
  <si>
    <t>(3)  90 mm</t>
  </si>
  <si>
    <t>(4) 110 mm</t>
  </si>
  <si>
    <t>(1)  63 mm</t>
  </si>
  <si>
    <t>PVC PIPE</t>
  </si>
  <si>
    <t>Refiiling</t>
  </si>
  <si>
    <t xml:space="preserve">63 mm </t>
  </si>
  <si>
    <t xml:space="preserve">75 mm </t>
  </si>
  <si>
    <t xml:space="preserve">90 mm </t>
  </si>
  <si>
    <t xml:space="preserve">110 mm </t>
  </si>
  <si>
    <t>(1)  65</t>
  </si>
  <si>
    <t>(2)  75</t>
  </si>
  <si>
    <t>(3)  90</t>
  </si>
  <si>
    <t>(4) 110</t>
  </si>
  <si>
    <t>ESTIMATE</t>
  </si>
  <si>
    <t xml:space="preserve">GRANT </t>
  </si>
  <si>
    <t>AMOUNT</t>
  </si>
  <si>
    <t>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</si>
</sst>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9"/>
      <name val="Arial"/>
      <family val="2"/>
    </font>
    <font>
      <sz val="10"/>
      <color theme="9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/>
    <xf numFmtId="2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2" fontId="2" fillId="2" borderId="1" xfId="0" applyNumberFormat="1" applyFont="1" applyFill="1" applyBorder="1" applyProtection="1">
      <protection locked="0"/>
    </xf>
    <xf numFmtId="0" fontId="3" fillId="4" borderId="1" xfId="0" applyFont="1" applyFill="1" applyBorder="1"/>
    <xf numFmtId="2" fontId="3" fillId="4" borderId="1" xfId="0" applyNumberFormat="1" applyFont="1" applyFill="1" applyBorder="1"/>
    <xf numFmtId="0" fontId="3" fillId="0" borderId="1" xfId="0" applyFont="1" applyBorder="1" applyProtection="1">
      <protection locked="0"/>
    </xf>
    <xf numFmtId="2" fontId="2" fillId="0" borderId="0" xfId="0" applyNumberFormat="1" applyFont="1" applyProtection="1">
      <protection locked="0"/>
    </xf>
    <xf numFmtId="2" fontId="1" fillId="0" borderId="0" xfId="0" applyNumberFormat="1" applyFont="1"/>
    <xf numFmtId="0" fontId="1" fillId="0" borderId="1" xfId="0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21" fontId="1" fillId="0" borderId="1" xfId="0" applyNumberFormat="1" applyFont="1" applyBorder="1" applyAlignment="1">
      <alignment horizontal="left" vertical="top"/>
    </xf>
    <xf numFmtId="9" fontId="1" fillId="0" borderId="0" xfId="0" applyNumberFormat="1" applyFont="1" applyAlignment="1">
      <alignment horizontal="left" vertical="top"/>
    </xf>
    <xf numFmtId="0" fontId="2" fillId="0" borderId="1" xfId="0" applyFont="1" applyBorder="1" applyAlignment="1" applyProtection="1">
      <alignment horizontal="left" vertical="top"/>
      <protection locked="0"/>
    </xf>
    <xf numFmtId="2" fontId="2" fillId="0" borderId="1" xfId="0" applyNumberFormat="1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2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1" fillId="0" borderId="0" xfId="0" applyFont="1" applyBorder="1"/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/>
    </xf>
    <xf numFmtId="0" fontId="0" fillId="0" borderId="0" xfId="0" applyBorder="1"/>
    <xf numFmtId="2" fontId="4" fillId="0" borderId="0" xfId="0" applyNumberFormat="1" applyFont="1" applyBorder="1" applyAlignment="1">
      <alignment horizontal="center" wrapText="1"/>
    </xf>
    <xf numFmtId="2" fontId="4" fillId="0" borderId="0" xfId="0" applyNumberFormat="1" applyFont="1" applyFill="1" applyBorder="1" applyAlignment="1">
      <alignment horizontal="center" wrapText="1"/>
    </xf>
    <xf numFmtId="0" fontId="2" fillId="0" borderId="0" xfId="0" applyFont="1"/>
    <xf numFmtId="9" fontId="0" fillId="0" borderId="0" xfId="0" applyNumberFormat="1"/>
    <xf numFmtId="0" fontId="0" fillId="2" borderId="0" xfId="0" applyFill="1"/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ont="1" applyFill="1"/>
    <xf numFmtId="0" fontId="0" fillId="0" borderId="0" xfId="0" applyFont="1"/>
    <xf numFmtId="2" fontId="5" fillId="0" borderId="0" xfId="0" applyNumberFormat="1" applyFont="1" applyBorder="1" applyAlignment="1">
      <alignment horizontal="center" wrapText="1"/>
    </xf>
    <xf numFmtId="0" fontId="0" fillId="0" borderId="0" xfId="0" applyFill="1" applyAlignment="1">
      <alignment horizontal="center"/>
    </xf>
    <xf numFmtId="16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7" fillId="0" borderId="0" xfId="0" applyFont="1" applyFill="1"/>
    <xf numFmtId="0" fontId="7" fillId="0" borderId="0" xfId="0" applyFont="1" applyFill="1" applyAlignment="1">
      <alignment horizontal="center" vertical="center"/>
    </xf>
    <xf numFmtId="2" fontId="0" fillId="2" borderId="0" xfId="0" applyNumberFormat="1" applyFill="1"/>
    <xf numFmtId="0" fontId="0" fillId="0" borderId="0" xfId="0" applyAlignment="1">
      <alignment vertical="center" wrapText="1"/>
    </xf>
    <xf numFmtId="2" fontId="6" fillId="2" borderId="0" xfId="0" applyNumberFormat="1" applyFont="1" applyFill="1"/>
    <xf numFmtId="9" fontId="1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21" fontId="1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view="pageBreakPreview" zoomScale="115" zoomScaleNormal="100" zoomScaleSheetLayoutView="115" workbookViewId="0">
      <selection activeCell="H5" sqref="H5"/>
    </sheetView>
  </sheetViews>
  <sheetFormatPr defaultColWidth="8.88671875" defaultRowHeight="14.4" x14ac:dyDescent="0.3"/>
  <cols>
    <col min="1" max="1" width="14.33203125" style="1" bestFit="1" customWidth="1"/>
    <col min="2" max="16384" width="8.88671875" style="1"/>
  </cols>
  <sheetData>
    <row r="1" spans="1:14" x14ac:dyDescent="0.3">
      <c r="A1" s="2"/>
      <c r="B1" s="2"/>
      <c r="C1" s="2"/>
      <c r="D1" s="2"/>
      <c r="E1" s="2"/>
      <c r="F1" s="2"/>
      <c r="G1" s="2" t="s">
        <v>10</v>
      </c>
      <c r="H1" s="2"/>
      <c r="I1" s="2"/>
      <c r="J1" s="2"/>
      <c r="K1" s="2" t="s">
        <v>10</v>
      </c>
      <c r="L1" s="2" t="s">
        <v>10</v>
      </c>
      <c r="M1" s="2"/>
      <c r="N1" s="2"/>
    </row>
    <row r="2" spans="1:14" x14ac:dyDescent="0.3">
      <c r="A2" s="2" t="s">
        <v>0</v>
      </c>
      <c r="B2" s="2">
        <v>1</v>
      </c>
      <c r="C2" s="3">
        <f>J15</f>
        <v>34</v>
      </c>
      <c r="D2" s="2">
        <v>156.56</v>
      </c>
      <c r="E2" s="5">
        <f t="shared" ref="E2:E7" si="0">C2*D2</f>
        <v>5323.04</v>
      </c>
      <c r="F2" s="2"/>
      <c r="G2" s="7">
        <v>1</v>
      </c>
      <c r="H2" s="47"/>
      <c r="I2" s="48"/>
      <c r="J2" s="48"/>
      <c r="K2" s="7">
        <v>3</v>
      </c>
      <c r="L2" s="8">
        <v>2</v>
      </c>
      <c r="M2" s="2"/>
      <c r="N2" s="2"/>
    </row>
    <row r="3" spans="1:14" x14ac:dyDescent="0.3">
      <c r="A3" s="2" t="s">
        <v>9</v>
      </c>
      <c r="B3" s="2">
        <v>2</v>
      </c>
      <c r="C3" s="3">
        <f>L16</f>
        <v>16.5</v>
      </c>
      <c r="D3" s="2">
        <v>210.42</v>
      </c>
      <c r="E3" s="5">
        <f t="shared" si="0"/>
        <v>3471.93</v>
      </c>
      <c r="F3" s="2"/>
      <c r="G3" s="4">
        <v>12</v>
      </c>
      <c r="H3" s="4">
        <v>10</v>
      </c>
      <c r="I3" s="4">
        <v>0.2</v>
      </c>
      <c r="J3" s="3">
        <f t="shared" ref="J3:J9" si="1">G3*H3*I3</f>
        <v>24</v>
      </c>
      <c r="K3" s="4">
        <f t="shared" ref="K3:K14" si="2">G3*H3</f>
        <v>120</v>
      </c>
      <c r="L3" s="3">
        <f t="shared" ref="L3:L14" si="3">G3*H3*0.1</f>
        <v>12</v>
      </c>
      <c r="M3" s="2"/>
      <c r="N3" s="2"/>
    </row>
    <row r="4" spans="1:14" x14ac:dyDescent="0.3">
      <c r="A4" s="2" t="s">
        <v>1</v>
      </c>
      <c r="B4" s="2">
        <v>3</v>
      </c>
      <c r="C4" s="3">
        <f>K15</f>
        <v>170</v>
      </c>
      <c r="D4" s="2">
        <v>740.51</v>
      </c>
      <c r="E4" s="5">
        <f t="shared" si="0"/>
        <v>125886.7</v>
      </c>
      <c r="F4" s="2"/>
      <c r="G4" s="4">
        <v>10</v>
      </c>
      <c r="H4" s="4">
        <v>5</v>
      </c>
      <c r="I4" s="4">
        <f t="shared" ref="I4:I11" si="4">I3</f>
        <v>0.2</v>
      </c>
      <c r="J4" s="3">
        <f t="shared" si="1"/>
        <v>10</v>
      </c>
      <c r="K4" s="3">
        <f t="shared" si="2"/>
        <v>50</v>
      </c>
      <c r="L4" s="3">
        <f t="shared" si="3"/>
        <v>5</v>
      </c>
      <c r="M4" s="2"/>
      <c r="N4" s="2"/>
    </row>
    <row r="5" spans="1:14" x14ac:dyDescent="0.3">
      <c r="A5" s="2" t="s">
        <v>2</v>
      </c>
      <c r="B5" s="2">
        <v>4</v>
      </c>
      <c r="C5" s="3">
        <f>I33+M33</f>
        <v>74</v>
      </c>
      <c r="D5" s="2">
        <v>23.68</v>
      </c>
      <c r="E5" s="5">
        <f t="shared" si="0"/>
        <v>1752.32</v>
      </c>
      <c r="F5" s="2"/>
      <c r="G5" s="4">
        <v>0</v>
      </c>
      <c r="H5" s="4">
        <v>0</v>
      </c>
      <c r="I5" s="4">
        <f t="shared" si="4"/>
        <v>0.2</v>
      </c>
      <c r="J5" s="3">
        <f t="shared" si="1"/>
        <v>0</v>
      </c>
      <c r="K5" s="3">
        <f t="shared" si="2"/>
        <v>0</v>
      </c>
      <c r="L5" s="3">
        <f t="shared" si="3"/>
        <v>0</v>
      </c>
      <c r="M5" s="2"/>
      <c r="N5" s="2"/>
    </row>
    <row r="6" spans="1:14" x14ac:dyDescent="0.3">
      <c r="A6" s="2" t="s">
        <v>3</v>
      </c>
      <c r="B6" s="2">
        <v>5</v>
      </c>
      <c r="C6" s="4">
        <v>0</v>
      </c>
      <c r="D6" s="2">
        <v>608</v>
      </c>
      <c r="E6" s="5">
        <f t="shared" si="0"/>
        <v>0</v>
      </c>
      <c r="F6" s="2"/>
      <c r="G6" s="4">
        <v>0</v>
      </c>
      <c r="H6" s="4">
        <v>0</v>
      </c>
      <c r="I6" s="4">
        <f t="shared" si="4"/>
        <v>0.2</v>
      </c>
      <c r="J6" s="3">
        <f t="shared" si="1"/>
        <v>0</v>
      </c>
      <c r="K6" s="4">
        <f t="shared" si="2"/>
        <v>0</v>
      </c>
      <c r="L6" s="3">
        <f t="shared" si="3"/>
        <v>0</v>
      </c>
      <c r="M6" s="2"/>
      <c r="N6" s="2"/>
    </row>
    <row r="7" spans="1:14" x14ac:dyDescent="0.3">
      <c r="A7" s="2" t="s">
        <v>4</v>
      </c>
      <c r="B7" s="2">
        <v>6</v>
      </c>
      <c r="C7" s="4">
        <v>0</v>
      </c>
      <c r="D7" s="2">
        <v>306.14</v>
      </c>
      <c r="E7" s="5">
        <f t="shared" si="0"/>
        <v>0</v>
      </c>
      <c r="F7" s="2"/>
      <c r="G7" s="4">
        <v>0</v>
      </c>
      <c r="H7" s="4">
        <v>0</v>
      </c>
      <c r="I7" s="4">
        <f t="shared" si="4"/>
        <v>0.2</v>
      </c>
      <c r="J7" s="4">
        <f t="shared" si="1"/>
        <v>0</v>
      </c>
      <c r="K7" s="4">
        <f t="shared" si="2"/>
        <v>0</v>
      </c>
      <c r="L7" s="3">
        <f t="shared" si="3"/>
        <v>0</v>
      </c>
      <c r="M7" s="2"/>
      <c r="N7" s="2"/>
    </row>
    <row r="8" spans="1:14" x14ac:dyDescent="0.3">
      <c r="A8" s="2"/>
      <c r="B8" s="2"/>
      <c r="C8" s="2"/>
      <c r="D8" s="2"/>
      <c r="E8" s="5">
        <f>SUM(E2:E7)</f>
        <v>136433.99</v>
      </c>
      <c r="F8" s="2"/>
      <c r="G8" s="4">
        <v>0</v>
      </c>
      <c r="H8" s="4">
        <v>0</v>
      </c>
      <c r="I8" s="4">
        <f t="shared" si="4"/>
        <v>0.2</v>
      </c>
      <c r="J8" s="4">
        <f t="shared" si="1"/>
        <v>0</v>
      </c>
      <c r="K8" s="4">
        <f t="shared" si="2"/>
        <v>0</v>
      </c>
      <c r="L8" s="3">
        <f t="shared" si="3"/>
        <v>0</v>
      </c>
      <c r="M8" s="2"/>
      <c r="N8" s="2"/>
    </row>
    <row r="9" spans="1:14" x14ac:dyDescent="0.3">
      <c r="A9" s="2"/>
      <c r="B9" s="2"/>
      <c r="C9" s="2"/>
      <c r="D9" s="2" t="s">
        <v>5</v>
      </c>
      <c r="E9" s="5">
        <f>E8*18%</f>
        <v>24558.118199999997</v>
      </c>
      <c r="F9" s="2"/>
      <c r="G9" s="4">
        <v>0</v>
      </c>
      <c r="H9" s="4">
        <v>0</v>
      </c>
      <c r="I9" s="4">
        <f t="shared" si="4"/>
        <v>0.2</v>
      </c>
      <c r="J9" s="4">
        <f t="shared" si="1"/>
        <v>0</v>
      </c>
      <c r="K9" s="4">
        <f t="shared" si="2"/>
        <v>0</v>
      </c>
      <c r="L9" s="3">
        <f t="shared" si="3"/>
        <v>0</v>
      </c>
      <c r="M9" s="2"/>
      <c r="N9" s="2"/>
    </row>
    <row r="10" spans="1:14" x14ac:dyDescent="0.3">
      <c r="A10" s="2"/>
      <c r="B10" s="2"/>
      <c r="C10" s="2"/>
      <c r="D10" s="2" t="s">
        <v>6</v>
      </c>
      <c r="E10" s="5">
        <f>E8+E9</f>
        <v>160992.10819999999</v>
      </c>
      <c r="F10" s="2"/>
      <c r="G10" s="4">
        <v>0</v>
      </c>
      <c r="H10" s="4">
        <v>0</v>
      </c>
      <c r="I10" s="4">
        <f t="shared" si="4"/>
        <v>0.2</v>
      </c>
      <c r="J10" s="4">
        <f t="shared" ref="J10:J14" si="5">G10*H10*I10</f>
        <v>0</v>
      </c>
      <c r="K10" s="4">
        <f t="shared" si="2"/>
        <v>0</v>
      </c>
      <c r="L10" s="3">
        <f t="shared" si="3"/>
        <v>0</v>
      </c>
      <c r="M10" s="2"/>
      <c r="N10" s="2"/>
    </row>
    <row r="11" spans="1:14" x14ac:dyDescent="0.3">
      <c r="A11" s="2"/>
      <c r="B11" s="2"/>
      <c r="C11" s="2"/>
      <c r="D11" s="2" t="s">
        <v>7</v>
      </c>
      <c r="E11" s="5">
        <v>100000</v>
      </c>
      <c r="F11" s="2"/>
      <c r="G11" s="4">
        <v>0</v>
      </c>
      <c r="H11" s="4">
        <v>0</v>
      </c>
      <c r="I11" s="4">
        <f t="shared" si="4"/>
        <v>0.2</v>
      </c>
      <c r="J11" s="4">
        <f t="shared" si="5"/>
        <v>0</v>
      </c>
      <c r="K11" s="4">
        <f t="shared" si="2"/>
        <v>0</v>
      </c>
      <c r="L11" s="3">
        <f t="shared" si="3"/>
        <v>0</v>
      </c>
      <c r="M11" s="2"/>
      <c r="N11" s="2"/>
    </row>
    <row r="12" spans="1:14" x14ac:dyDescent="0.3">
      <c r="A12" s="2"/>
      <c r="B12" s="2"/>
      <c r="C12" s="2"/>
      <c r="D12" s="2" t="s">
        <v>8</v>
      </c>
      <c r="E12" s="5">
        <f>E11-E10</f>
        <v>-60992.108199999988</v>
      </c>
      <c r="F12" s="2"/>
      <c r="G12" s="4">
        <v>0</v>
      </c>
      <c r="H12" s="4">
        <v>0</v>
      </c>
      <c r="I12" s="4">
        <f>I11</f>
        <v>0.2</v>
      </c>
      <c r="J12" s="4">
        <f t="shared" si="5"/>
        <v>0</v>
      </c>
      <c r="K12" s="4">
        <f t="shared" si="2"/>
        <v>0</v>
      </c>
      <c r="L12" s="3">
        <f t="shared" si="3"/>
        <v>0</v>
      </c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4">
        <v>0</v>
      </c>
      <c r="H13" s="4">
        <v>0</v>
      </c>
      <c r="I13" s="4">
        <f>I12</f>
        <v>0.2</v>
      </c>
      <c r="J13" s="4">
        <f t="shared" si="5"/>
        <v>0</v>
      </c>
      <c r="K13" s="4">
        <f t="shared" si="2"/>
        <v>0</v>
      </c>
      <c r="L13" s="3">
        <f t="shared" si="3"/>
        <v>0</v>
      </c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4">
        <v>0</v>
      </c>
      <c r="H14" s="4">
        <v>0</v>
      </c>
      <c r="I14" s="4">
        <f>I13</f>
        <v>0.2</v>
      </c>
      <c r="J14" s="4">
        <f t="shared" si="5"/>
        <v>0</v>
      </c>
      <c r="K14" s="4">
        <f t="shared" si="2"/>
        <v>0</v>
      </c>
      <c r="L14" s="3">
        <f t="shared" si="3"/>
        <v>0</v>
      </c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4"/>
      <c r="H15" s="4"/>
      <c r="I15" s="9" t="s">
        <v>6</v>
      </c>
      <c r="J15" s="6">
        <f>SUM(J3:J14)</f>
        <v>34</v>
      </c>
      <c r="K15" s="6">
        <f>SUM(K3:K14)</f>
        <v>170</v>
      </c>
      <c r="L15" s="6">
        <f>SUM(L3:L14)</f>
        <v>17</v>
      </c>
      <c r="M15" s="2"/>
      <c r="N15" s="2"/>
    </row>
    <row r="16" spans="1:14" x14ac:dyDescent="0.3">
      <c r="A16" s="2"/>
      <c r="B16" s="2"/>
      <c r="C16" s="2"/>
      <c r="D16" s="2"/>
      <c r="E16" s="2"/>
      <c r="F16" s="2" t="s">
        <v>11</v>
      </c>
      <c r="G16" s="4">
        <f>L15/1.5</f>
        <v>11.333333333333334</v>
      </c>
      <c r="H16" s="4">
        <f>ROUNDDOWN(G16,0)</f>
        <v>11</v>
      </c>
      <c r="I16" s="4">
        <v>2</v>
      </c>
      <c r="J16" s="4">
        <v>1.5</v>
      </c>
      <c r="K16" s="4">
        <v>0.5</v>
      </c>
      <c r="L16" s="4">
        <f>H16*I16*J16*K16</f>
        <v>16.5</v>
      </c>
      <c r="M16" s="2"/>
      <c r="N16" s="2"/>
    </row>
    <row r="17" spans="1:15" x14ac:dyDescent="0.3">
      <c r="A17" s="2"/>
      <c r="B17" s="2"/>
      <c r="C17" s="2"/>
      <c r="D17" s="2"/>
      <c r="E17" s="2"/>
      <c r="F17" s="2"/>
      <c r="G17" s="2"/>
      <c r="H17" s="51"/>
      <c r="I17" s="48"/>
      <c r="J17" s="48"/>
      <c r="K17" s="2"/>
      <c r="L17" s="2"/>
      <c r="M17" s="2"/>
      <c r="N17" s="2"/>
    </row>
    <row r="18" spans="1:1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5" x14ac:dyDescent="0.3">
      <c r="A20" s="2"/>
      <c r="B20" s="2"/>
      <c r="C20" s="2"/>
      <c r="D20" s="2"/>
      <c r="E20" s="2"/>
      <c r="F20" s="2"/>
      <c r="G20" s="7">
        <v>4</v>
      </c>
      <c r="H20" s="49" t="str">
        <f>A5</f>
        <v>VATA</v>
      </c>
      <c r="I20" s="50"/>
      <c r="J20" s="50"/>
      <c r="K20" s="2"/>
      <c r="L20" s="2"/>
      <c r="M20" s="2"/>
      <c r="N20" s="2"/>
    </row>
    <row r="21" spans="1:15" x14ac:dyDescent="0.3">
      <c r="A21" s="2"/>
      <c r="B21" s="2"/>
      <c r="C21" s="2"/>
      <c r="D21" s="2"/>
      <c r="E21" s="2"/>
      <c r="F21" s="2"/>
      <c r="G21" s="4">
        <v>2</v>
      </c>
      <c r="H21" s="4">
        <f t="shared" ref="H21:H32" si="6">G3</f>
        <v>12</v>
      </c>
      <c r="I21" s="3">
        <f t="shared" ref="I21:I32" si="7">G21*H21</f>
        <v>24</v>
      </c>
      <c r="J21" s="2"/>
      <c r="K21" s="4">
        <v>2</v>
      </c>
      <c r="L21" s="4">
        <f t="shared" ref="L21:L32" si="8">H3</f>
        <v>10</v>
      </c>
      <c r="M21" s="3">
        <f t="shared" ref="M21:M32" si="9">K21*L21</f>
        <v>20</v>
      </c>
      <c r="N21" s="4"/>
      <c r="O21" s="10"/>
    </row>
    <row r="22" spans="1:15" x14ac:dyDescent="0.3">
      <c r="A22" s="2"/>
      <c r="B22" s="2"/>
      <c r="C22" s="2"/>
      <c r="D22" s="2"/>
      <c r="E22" s="2"/>
      <c r="F22" s="2"/>
      <c r="G22" s="4">
        <v>2</v>
      </c>
      <c r="H22" s="4">
        <f t="shared" si="6"/>
        <v>10</v>
      </c>
      <c r="I22" s="3">
        <f t="shared" si="7"/>
        <v>20</v>
      </c>
      <c r="J22" s="2"/>
      <c r="K22" s="4">
        <v>2</v>
      </c>
      <c r="L22" s="4">
        <f t="shared" si="8"/>
        <v>5</v>
      </c>
      <c r="M22" s="3">
        <f t="shared" si="9"/>
        <v>10</v>
      </c>
      <c r="N22" s="4"/>
      <c r="O22" s="10"/>
    </row>
    <row r="23" spans="1:15" x14ac:dyDescent="0.3">
      <c r="A23" s="2"/>
      <c r="B23" s="2"/>
      <c r="C23" s="2"/>
      <c r="D23" s="2"/>
      <c r="E23" s="2"/>
      <c r="F23" s="2"/>
      <c r="G23" s="4">
        <v>2</v>
      </c>
      <c r="H23" s="4">
        <f t="shared" si="6"/>
        <v>0</v>
      </c>
      <c r="I23" s="3">
        <f t="shared" si="7"/>
        <v>0</v>
      </c>
      <c r="J23" s="2"/>
      <c r="K23" s="4">
        <v>2</v>
      </c>
      <c r="L23" s="4">
        <f t="shared" si="8"/>
        <v>0</v>
      </c>
      <c r="M23" s="3">
        <f t="shared" si="9"/>
        <v>0</v>
      </c>
      <c r="N23" s="4"/>
      <c r="O23" s="10"/>
    </row>
    <row r="24" spans="1:15" x14ac:dyDescent="0.3">
      <c r="A24" s="2"/>
      <c r="B24" s="2"/>
      <c r="C24" s="2"/>
      <c r="D24" s="2"/>
      <c r="E24" s="2"/>
      <c r="F24" s="2"/>
      <c r="G24" s="4">
        <v>2</v>
      </c>
      <c r="H24" s="4">
        <f t="shared" si="6"/>
        <v>0</v>
      </c>
      <c r="I24" s="3">
        <f t="shared" si="7"/>
        <v>0</v>
      </c>
      <c r="J24" s="2"/>
      <c r="K24" s="4">
        <v>2</v>
      </c>
      <c r="L24" s="4">
        <f t="shared" si="8"/>
        <v>0</v>
      </c>
      <c r="M24" s="3">
        <f t="shared" si="9"/>
        <v>0</v>
      </c>
      <c r="N24" s="4"/>
      <c r="O24" s="10"/>
    </row>
    <row r="25" spans="1:15" x14ac:dyDescent="0.3">
      <c r="A25" s="2"/>
      <c r="B25" s="2"/>
      <c r="C25" s="2"/>
      <c r="D25" s="2"/>
      <c r="E25" s="2"/>
      <c r="F25" s="2"/>
      <c r="G25" s="4">
        <v>2</v>
      </c>
      <c r="H25" s="4">
        <f t="shared" si="6"/>
        <v>0</v>
      </c>
      <c r="I25" s="3">
        <f t="shared" si="7"/>
        <v>0</v>
      </c>
      <c r="J25" s="2"/>
      <c r="K25" s="4">
        <v>2</v>
      </c>
      <c r="L25" s="4">
        <f t="shared" si="8"/>
        <v>0</v>
      </c>
      <c r="M25" s="3">
        <f t="shared" si="9"/>
        <v>0</v>
      </c>
      <c r="N25" s="4"/>
      <c r="O25" s="10"/>
    </row>
    <row r="26" spans="1:15" x14ac:dyDescent="0.3">
      <c r="A26" s="2"/>
      <c r="B26" s="2"/>
      <c r="C26" s="2"/>
      <c r="D26" s="2"/>
      <c r="E26" s="2"/>
      <c r="F26" s="2"/>
      <c r="G26" s="4">
        <v>2</v>
      </c>
      <c r="H26" s="4">
        <f t="shared" si="6"/>
        <v>0</v>
      </c>
      <c r="I26" s="3">
        <f t="shared" si="7"/>
        <v>0</v>
      </c>
      <c r="J26" s="2"/>
      <c r="K26" s="4">
        <v>2</v>
      </c>
      <c r="L26" s="4">
        <f t="shared" si="8"/>
        <v>0</v>
      </c>
      <c r="M26" s="3">
        <f t="shared" si="9"/>
        <v>0</v>
      </c>
      <c r="N26" s="4"/>
      <c r="O26" s="10"/>
    </row>
    <row r="27" spans="1:15" x14ac:dyDescent="0.3">
      <c r="A27" s="2"/>
      <c r="B27" s="2"/>
      <c r="C27" s="2"/>
      <c r="D27" s="2"/>
      <c r="E27" s="2"/>
      <c r="F27" s="2"/>
      <c r="G27" s="4">
        <v>2</v>
      </c>
      <c r="H27" s="4">
        <f t="shared" si="6"/>
        <v>0</v>
      </c>
      <c r="I27" s="3">
        <f t="shared" si="7"/>
        <v>0</v>
      </c>
      <c r="J27" s="2"/>
      <c r="K27" s="4">
        <v>2</v>
      </c>
      <c r="L27" s="4">
        <f t="shared" si="8"/>
        <v>0</v>
      </c>
      <c r="M27" s="3">
        <f t="shared" si="9"/>
        <v>0</v>
      </c>
      <c r="N27" s="4"/>
      <c r="O27" s="10"/>
    </row>
    <row r="28" spans="1:15" x14ac:dyDescent="0.3">
      <c r="A28" s="2"/>
      <c r="B28" s="2"/>
      <c r="C28" s="2"/>
      <c r="D28" s="2"/>
      <c r="E28" s="2"/>
      <c r="F28" s="2"/>
      <c r="G28" s="4">
        <v>2</v>
      </c>
      <c r="H28" s="4">
        <f t="shared" si="6"/>
        <v>0</v>
      </c>
      <c r="I28" s="3">
        <f t="shared" si="7"/>
        <v>0</v>
      </c>
      <c r="J28" s="2"/>
      <c r="K28" s="4">
        <v>2</v>
      </c>
      <c r="L28" s="4">
        <f t="shared" si="8"/>
        <v>0</v>
      </c>
      <c r="M28" s="3">
        <f t="shared" si="9"/>
        <v>0</v>
      </c>
      <c r="N28" s="4"/>
      <c r="O28" s="10"/>
    </row>
    <row r="29" spans="1:15" x14ac:dyDescent="0.3">
      <c r="A29" s="2"/>
      <c r="B29" s="2"/>
      <c r="C29" s="2"/>
      <c r="D29" s="2"/>
      <c r="E29" s="2"/>
      <c r="F29" s="2"/>
      <c r="G29" s="4">
        <v>2</v>
      </c>
      <c r="H29" s="4">
        <f t="shared" si="6"/>
        <v>0</v>
      </c>
      <c r="I29" s="3">
        <f t="shared" si="7"/>
        <v>0</v>
      </c>
      <c r="J29" s="2"/>
      <c r="K29" s="4">
        <v>2</v>
      </c>
      <c r="L29" s="4">
        <f t="shared" si="8"/>
        <v>0</v>
      </c>
      <c r="M29" s="3">
        <f t="shared" si="9"/>
        <v>0</v>
      </c>
      <c r="N29" s="4"/>
      <c r="O29" s="10"/>
    </row>
    <row r="30" spans="1:15" x14ac:dyDescent="0.3">
      <c r="A30" s="2"/>
      <c r="B30" s="2"/>
      <c r="C30" s="2"/>
      <c r="D30" s="2"/>
      <c r="E30" s="2"/>
      <c r="F30" s="2"/>
      <c r="G30" s="4">
        <v>2</v>
      </c>
      <c r="H30" s="4">
        <f t="shared" si="6"/>
        <v>0</v>
      </c>
      <c r="I30" s="3">
        <f t="shared" si="7"/>
        <v>0</v>
      </c>
      <c r="J30" s="2"/>
      <c r="K30" s="4">
        <v>2</v>
      </c>
      <c r="L30" s="4">
        <f t="shared" si="8"/>
        <v>0</v>
      </c>
      <c r="M30" s="3">
        <f t="shared" si="9"/>
        <v>0</v>
      </c>
      <c r="N30" s="4"/>
      <c r="O30" s="10"/>
    </row>
    <row r="31" spans="1:15" x14ac:dyDescent="0.3">
      <c r="A31" s="2"/>
      <c r="B31" s="2"/>
      <c r="C31" s="2"/>
      <c r="D31" s="2"/>
      <c r="E31" s="2"/>
      <c r="F31" s="2"/>
      <c r="G31" s="4">
        <v>2</v>
      </c>
      <c r="H31" s="4">
        <f t="shared" si="6"/>
        <v>0</v>
      </c>
      <c r="I31" s="3">
        <f t="shared" si="7"/>
        <v>0</v>
      </c>
      <c r="J31" s="2"/>
      <c r="K31" s="4">
        <v>2</v>
      </c>
      <c r="L31" s="4">
        <f t="shared" si="8"/>
        <v>0</v>
      </c>
      <c r="M31" s="3">
        <f t="shared" si="9"/>
        <v>0</v>
      </c>
      <c r="N31" s="4"/>
      <c r="O31" s="10"/>
    </row>
    <row r="32" spans="1:15" x14ac:dyDescent="0.3">
      <c r="A32" s="2"/>
      <c r="B32" s="2"/>
      <c r="C32" s="2"/>
      <c r="D32" s="2"/>
      <c r="E32" s="2"/>
      <c r="F32" s="2"/>
      <c r="G32" s="4">
        <v>2</v>
      </c>
      <c r="H32" s="4">
        <f t="shared" si="6"/>
        <v>0</v>
      </c>
      <c r="I32" s="3">
        <f t="shared" si="7"/>
        <v>0</v>
      </c>
      <c r="J32" s="2"/>
      <c r="K32" s="4">
        <v>2</v>
      </c>
      <c r="L32" s="4">
        <f t="shared" si="8"/>
        <v>0</v>
      </c>
      <c r="M32" s="3">
        <f t="shared" si="9"/>
        <v>0</v>
      </c>
      <c r="N32" s="4"/>
      <c r="O32" s="10"/>
    </row>
    <row r="33" spans="1:15" x14ac:dyDescent="0.3">
      <c r="A33" s="2"/>
      <c r="B33" s="2"/>
      <c r="C33" s="2"/>
      <c r="D33" s="2"/>
      <c r="E33" s="2"/>
      <c r="F33" s="2"/>
      <c r="G33" s="4"/>
      <c r="H33" s="4"/>
      <c r="I33" s="3">
        <f>SUM(I21:I32)</f>
        <v>44</v>
      </c>
      <c r="J33" s="3"/>
      <c r="K33" s="4"/>
      <c r="L33" s="4"/>
      <c r="M33" s="3">
        <f>SUM(M21:M32)</f>
        <v>30</v>
      </c>
      <c r="N33" s="2"/>
      <c r="O33" s="11"/>
    </row>
  </sheetData>
  <mergeCells count="3">
    <mergeCell ref="H2:J2"/>
    <mergeCell ref="H20:J20"/>
    <mergeCell ref="H17:J17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view="pageBreakPreview" zoomScale="115" zoomScaleNormal="100" zoomScaleSheetLayoutView="115" workbookViewId="0">
      <selection activeCell="G20" sqref="G20"/>
    </sheetView>
  </sheetViews>
  <sheetFormatPr defaultColWidth="8.88671875" defaultRowHeight="14.4" x14ac:dyDescent="0.3"/>
  <cols>
    <col min="1" max="1" width="14.5546875" style="1" bestFit="1" customWidth="1"/>
    <col min="2" max="16384" width="8.88671875" style="1"/>
  </cols>
  <sheetData>
    <row r="1" spans="1:16" x14ac:dyDescent="0.3">
      <c r="G1" s="1" t="s">
        <v>10</v>
      </c>
      <c r="L1" s="1" t="s">
        <v>10</v>
      </c>
      <c r="P1" s="1" t="s">
        <v>10</v>
      </c>
    </row>
    <row r="2" spans="1:16" x14ac:dyDescent="0.3">
      <c r="A2" s="12" t="s">
        <v>12</v>
      </c>
      <c r="B2" s="12">
        <v>1</v>
      </c>
      <c r="C2" s="19">
        <f>J11</f>
        <v>36</v>
      </c>
      <c r="D2" s="12">
        <v>158.12</v>
      </c>
      <c r="E2" s="20">
        <f>C2*D2</f>
        <v>5692.32</v>
      </c>
      <c r="F2" s="12"/>
      <c r="G2" s="12">
        <v>1</v>
      </c>
      <c r="H2" s="52" t="str">
        <f>A2</f>
        <v>BOX CUTTING</v>
      </c>
      <c r="I2" s="52"/>
      <c r="J2" s="52"/>
      <c r="K2" s="12"/>
      <c r="L2" s="12">
        <v>6</v>
      </c>
      <c r="M2" s="53" t="str">
        <f>A7</f>
        <v>1:02:4...</v>
      </c>
      <c r="N2" s="52"/>
      <c r="O2" s="52"/>
      <c r="P2" s="12">
        <v>7</v>
      </c>
    </row>
    <row r="3" spans="1:16" x14ac:dyDescent="0.3">
      <c r="A3" s="12" t="s">
        <v>13</v>
      </c>
      <c r="B3" s="12">
        <v>2</v>
      </c>
      <c r="C3" s="20">
        <f>L17</f>
        <v>16.5</v>
      </c>
      <c r="D3" s="12">
        <v>684.6</v>
      </c>
      <c r="E3" s="20">
        <f t="shared" ref="E3:E9" si="0">C3*D3</f>
        <v>11295.9</v>
      </c>
      <c r="F3" s="12"/>
      <c r="G3" s="16">
        <v>40</v>
      </c>
      <c r="H3" s="17">
        <v>3</v>
      </c>
      <c r="I3" s="16">
        <v>0.3</v>
      </c>
      <c r="J3" s="17">
        <f>G3*H3*I3</f>
        <v>36</v>
      </c>
      <c r="K3" s="12"/>
      <c r="L3" s="20">
        <f>G3</f>
        <v>40</v>
      </c>
      <c r="M3" s="19">
        <f>H3</f>
        <v>3</v>
      </c>
      <c r="N3" s="20">
        <v>0.1</v>
      </c>
      <c r="O3" s="19">
        <f>L3*M3*N3</f>
        <v>12</v>
      </c>
      <c r="P3" s="19">
        <f>L3*M3</f>
        <v>120</v>
      </c>
    </row>
    <row r="4" spans="1:16" x14ac:dyDescent="0.3">
      <c r="A4" s="12" t="s">
        <v>9</v>
      </c>
      <c r="B4" s="12">
        <v>3</v>
      </c>
      <c r="C4" s="20">
        <f>L20</f>
        <v>3</v>
      </c>
      <c r="D4" s="12">
        <v>173.51</v>
      </c>
      <c r="E4" s="20">
        <f t="shared" si="0"/>
        <v>520.53</v>
      </c>
      <c r="F4" s="12"/>
      <c r="G4" s="16">
        <v>0</v>
      </c>
      <c r="H4" s="17">
        <v>0</v>
      </c>
      <c r="I4" s="16">
        <f t="shared" ref="I4:I9" si="1">I3</f>
        <v>0.3</v>
      </c>
      <c r="J4" s="17">
        <f>G4*H4*I4</f>
        <v>0</v>
      </c>
      <c r="K4" s="12"/>
      <c r="L4" s="20">
        <f t="shared" ref="L4:M10" si="2">G4</f>
        <v>0</v>
      </c>
      <c r="M4" s="19">
        <f>H4</f>
        <v>0</v>
      </c>
      <c r="N4" s="20">
        <f t="shared" ref="N4:N10" si="3">N3</f>
        <v>0.1</v>
      </c>
      <c r="O4" s="19">
        <f t="shared" ref="O4:O10" si="4">L4*M4*N4</f>
        <v>0</v>
      </c>
      <c r="P4" s="19">
        <f t="shared" ref="P4:P10" si="5">L4*M4</f>
        <v>0</v>
      </c>
    </row>
    <row r="5" spans="1:16" x14ac:dyDescent="0.3">
      <c r="A5" s="12" t="s">
        <v>15</v>
      </c>
      <c r="B5" s="12">
        <v>4</v>
      </c>
      <c r="C5" s="20">
        <f>C3</f>
        <v>16.5</v>
      </c>
      <c r="D5" s="12">
        <v>249.75</v>
      </c>
      <c r="E5" s="20">
        <f t="shared" si="0"/>
        <v>4120.875</v>
      </c>
      <c r="F5" s="12"/>
      <c r="G5" s="16">
        <v>0</v>
      </c>
      <c r="H5" s="17">
        <v>0</v>
      </c>
      <c r="I5" s="16">
        <f t="shared" si="1"/>
        <v>0.3</v>
      </c>
      <c r="J5" s="17">
        <f>G5*H5*I5</f>
        <v>0</v>
      </c>
      <c r="K5" s="12"/>
      <c r="L5" s="20">
        <f t="shared" si="2"/>
        <v>0</v>
      </c>
      <c r="M5" s="19">
        <f>H5</f>
        <v>0</v>
      </c>
      <c r="N5" s="20">
        <f t="shared" si="3"/>
        <v>0.1</v>
      </c>
      <c r="O5" s="19">
        <f t="shared" si="4"/>
        <v>0</v>
      </c>
      <c r="P5" s="20">
        <f t="shared" si="5"/>
        <v>0</v>
      </c>
    </row>
    <row r="6" spans="1:16" x14ac:dyDescent="0.3">
      <c r="A6" s="12" t="s">
        <v>14</v>
      </c>
      <c r="B6" s="12">
        <v>5</v>
      </c>
      <c r="C6" s="20">
        <f>C4</f>
        <v>3</v>
      </c>
      <c r="D6" s="12">
        <v>147.47</v>
      </c>
      <c r="E6" s="20">
        <f t="shared" si="0"/>
        <v>442.40999999999997</v>
      </c>
      <c r="F6" s="12"/>
      <c r="G6" s="16">
        <v>0</v>
      </c>
      <c r="H6" s="16">
        <v>0</v>
      </c>
      <c r="I6" s="16">
        <f t="shared" si="1"/>
        <v>0.3</v>
      </c>
      <c r="J6" s="17">
        <f>G6*H5*I6</f>
        <v>0</v>
      </c>
      <c r="K6" s="12"/>
      <c r="L6" s="20">
        <f t="shared" si="2"/>
        <v>0</v>
      </c>
      <c r="M6" s="20">
        <f>H6</f>
        <v>0</v>
      </c>
      <c r="N6" s="20">
        <f t="shared" si="3"/>
        <v>0.1</v>
      </c>
      <c r="O6" s="19">
        <f t="shared" si="4"/>
        <v>0</v>
      </c>
      <c r="P6" s="20">
        <f t="shared" si="5"/>
        <v>0</v>
      </c>
    </row>
    <row r="7" spans="1:16" x14ac:dyDescent="0.3">
      <c r="A7" s="14" t="s">
        <v>16</v>
      </c>
      <c r="B7" s="12">
        <v>6</v>
      </c>
      <c r="C7" s="20">
        <f>O11</f>
        <v>12</v>
      </c>
      <c r="D7" s="12">
        <v>4915.01</v>
      </c>
      <c r="E7" s="20">
        <f t="shared" si="0"/>
        <v>58980.12</v>
      </c>
      <c r="F7" s="12"/>
      <c r="G7" s="16">
        <v>0</v>
      </c>
      <c r="H7" s="16">
        <v>0</v>
      </c>
      <c r="I7" s="16">
        <f t="shared" si="1"/>
        <v>0.3</v>
      </c>
      <c r="J7" s="16">
        <f>G7*H6*I7</f>
        <v>0</v>
      </c>
      <c r="K7" s="12"/>
      <c r="L7" s="20">
        <f t="shared" si="2"/>
        <v>0</v>
      </c>
      <c r="M7" s="20">
        <f>H7</f>
        <v>0</v>
      </c>
      <c r="N7" s="20">
        <f t="shared" si="3"/>
        <v>0.1</v>
      </c>
      <c r="O7" s="20">
        <f t="shared" si="4"/>
        <v>0</v>
      </c>
      <c r="P7" s="20">
        <f t="shared" si="5"/>
        <v>0</v>
      </c>
    </row>
    <row r="8" spans="1:16" x14ac:dyDescent="0.3">
      <c r="A8" s="12" t="s">
        <v>17</v>
      </c>
      <c r="B8" s="12">
        <v>7</v>
      </c>
      <c r="C8" s="20">
        <v>0</v>
      </c>
      <c r="D8" s="12">
        <v>2656</v>
      </c>
      <c r="E8" s="20">
        <f t="shared" si="0"/>
        <v>0</v>
      </c>
      <c r="F8" s="12"/>
      <c r="G8" s="16">
        <v>0</v>
      </c>
      <c r="H8" s="18">
        <v>0</v>
      </c>
      <c r="I8" s="16">
        <f t="shared" si="1"/>
        <v>0.3</v>
      </c>
      <c r="J8" s="16">
        <f>G8*H7*I8</f>
        <v>0</v>
      </c>
      <c r="K8" s="12"/>
      <c r="L8" s="20">
        <f t="shared" si="2"/>
        <v>0</v>
      </c>
      <c r="M8" s="20">
        <f>H8</f>
        <v>0</v>
      </c>
      <c r="N8" s="20">
        <f t="shared" si="3"/>
        <v>0.1</v>
      </c>
      <c r="O8" s="20">
        <f t="shared" si="4"/>
        <v>0</v>
      </c>
      <c r="P8" s="20">
        <f t="shared" si="5"/>
        <v>0</v>
      </c>
    </row>
    <row r="9" spans="1:16" x14ac:dyDescent="0.3">
      <c r="A9" s="12" t="s">
        <v>4</v>
      </c>
      <c r="B9" s="12">
        <v>8</v>
      </c>
      <c r="C9" s="20">
        <v>0</v>
      </c>
      <c r="D9" s="12">
        <v>306.14</v>
      </c>
      <c r="E9" s="20">
        <f t="shared" si="0"/>
        <v>0</v>
      </c>
      <c r="F9" s="12"/>
      <c r="G9" s="16">
        <v>0</v>
      </c>
      <c r="H9" s="16">
        <v>0</v>
      </c>
      <c r="I9" s="16">
        <f t="shared" si="1"/>
        <v>0.3</v>
      </c>
      <c r="J9" s="16">
        <f t="shared" ref="J9:J10" si="6">G9*H9*I9</f>
        <v>0</v>
      </c>
      <c r="K9" s="12"/>
      <c r="L9" s="20">
        <f t="shared" si="2"/>
        <v>0</v>
      </c>
      <c r="M9" s="20">
        <f t="shared" si="2"/>
        <v>0</v>
      </c>
      <c r="N9" s="20">
        <f t="shared" si="3"/>
        <v>0.1</v>
      </c>
      <c r="O9" s="20">
        <f t="shared" si="4"/>
        <v>0</v>
      </c>
      <c r="P9" s="20">
        <f t="shared" si="5"/>
        <v>0</v>
      </c>
    </row>
    <row r="10" spans="1:16" x14ac:dyDescent="0.3">
      <c r="A10" s="12"/>
      <c r="B10" s="12"/>
      <c r="C10" s="12"/>
      <c r="D10" s="12"/>
      <c r="E10" s="20">
        <f>SUM(E2:E9)</f>
        <v>81052.154999999999</v>
      </c>
      <c r="F10" s="12"/>
      <c r="G10" s="16">
        <v>0</v>
      </c>
      <c r="H10" s="16">
        <v>0</v>
      </c>
      <c r="I10" s="16">
        <v>0.3</v>
      </c>
      <c r="J10" s="16">
        <f t="shared" si="6"/>
        <v>0</v>
      </c>
      <c r="K10" s="12"/>
      <c r="L10" s="20">
        <f t="shared" si="2"/>
        <v>0</v>
      </c>
      <c r="M10" s="20">
        <f t="shared" si="2"/>
        <v>0</v>
      </c>
      <c r="N10" s="20">
        <f t="shared" si="3"/>
        <v>0.1</v>
      </c>
      <c r="O10" s="20">
        <f t="shared" si="4"/>
        <v>0</v>
      </c>
      <c r="P10" s="20">
        <f t="shared" si="5"/>
        <v>0</v>
      </c>
    </row>
    <row r="11" spans="1:16" x14ac:dyDescent="0.3">
      <c r="A11" s="12"/>
      <c r="B11" s="12"/>
      <c r="C11" s="12" t="s">
        <v>18</v>
      </c>
      <c r="D11" s="15">
        <v>0.18</v>
      </c>
      <c r="E11" s="20">
        <f>E10*18%</f>
        <v>14589.3879</v>
      </c>
      <c r="F11" s="12"/>
      <c r="G11" s="16"/>
      <c r="H11" s="16"/>
      <c r="I11" s="16"/>
      <c r="J11" s="17">
        <f>SUM(J3:J10)</f>
        <v>36</v>
      </c>
      <c r="K11" s="12"/>
      <c r="L11" s="20"/>
      <c r="M11" s="20"/>
      <c r="N11" s="20"/>
      <c r="O11" s="19">
        <f>SUM(O3:O10)</f>
        <v>12</v>
      </c>
      <c r="P11" s="19">
        <f>SUM(P3:P10)</f>
        <v>120</v>
      </c>
    </row>
    <row r="12" spans="1:16" x14ac:dyDescent="0.3">
      <c r="A12" s="12"/>
      <c r="B12" s="12"/>
      <c r="C12" s="12"/>
      <c r="D12" s="12" t="s">
        <v>19</v>
      </c>
      <c r="E12" s="20">
        <f>E10+E11</f>
        <v>95641.5429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3">
      <c r="A13" s="12"/>
      <c r="B13" s="12"/>
      <c r="C13" s="12"/>
      <c r="D13" s="12" t="s">
        <v>20</v>
      </c>
      <c r="E13" s="20">
        <v>400000</v>
      </c>
      <c r="F13" s="1" t="s">
        <v>10</v>
      </c>
      <c r="G13" s="12">
        <v>2</v>
      </c>
      <c r="H13" s="12">
        <v>4</v>
      </c>
      <c r="I13" s="52" t="str">
        <f>A3</f>
        <v xml:space="preserve">40 TO 63 </v>
      </c>
      <c r="J13" s="52"/>
      <c r="K13" s="12"/>
      <c r="L13" s="12"/>
      <c r="M13" s="12"/>
      <c r="N13" s="12"/>
      <c r="O13" s="12"/>
      <c r="P13" s="12"/>
    </row>
    <row r="14" spans="1:16" x14ac:dyDescent="0.3">
      <c r="A14" s="12"/>
      <c r="B14" s="12"/>
      <c r="C14" s="12"/>
      <c r="D14" s="12" t="s">
        <v>21</v>
      </c>
      <c r="E14" s="20">
        <f>E13-E12</f>
        <v>304358.4571</v>
      </c>
      <c r="F14" s="12"/>
      <c r="G14" s="19">
        <f>P11</f>
        <v>120</v>
      </c>
      <c r="H14" s="20"/>
      <c r="I14" s="20">
        <v>0.12</v>
      </c>
      <c r="J14" s="19">
        <f>G14*I14</f>
        <v>14.399999999999999</v>
      </c>
      <c r="K14" s="12"/>
      <c r="L14" s="12"/>
      <c r="M14" s="12"/>
      <c r="N14" s="12"/>
      <c r="O14" s="12"/>
      <c r="P14" s="12"/>
    </row>
    <row r="15" spans="1:16" x14ac:dyDescent="0.3">
      <c r="A15" s="12"/>
      <c r="B15" s="12"/>
      <c r="C15" s="12"/>
      <c r="D15" s="12"/>
      <c r="E15" s="12"/>
      <c r="F15" s="12"/>
      <c r="G15" s="12"/>
      <c r="H15" s="12" t="s">
        <v>22</v>
      </c>
      <c r="I15" s="21">
        <v>0.15</v>
      </c>
      <c r="J15" s="13">
        <f>J14*I15</f>
        <v>2.1599999999999997</v>
      </c>
      <c r="K15" s="12"/>
      <c r="L15" s="12"/>
      <c r="M15" s="12"/>
      <c r="N15" s="12"/>
      <c r="O15" s="12"/>
      <c r="P15" s="12"/>
    </row>
    <row r="16" spans="1:16" x14ac:dyDescent="0.3">
      <c r="A16" s="12"/>
      <c r="B16" s="12"/>
      <c r="C16" s="12"/>
      <c r="D16" s="12"/>
      <c r="E16" s="12"/>
      <c r="F16" s="12"/>
      <c r="G16" s="12"/>
      <c r="H16" s="12"/>
      <c r="I16" s="12" t="s">
        <v>23</v>
      </c>
      <c r="J16" s="13">
        <f>J14+J15</f>
        <v>16.559999999999999</v>
      </c>
      <c r="K16" s="12"/>
      <c r="L16" s="12"/>
      <c r="M16" s="12"/>
      <c r="N16" s="12"/>
      <c r="O16" s="12"/>
      <c r="P16" s="12"/>
    </row>
    <row r="17" spans="1:16" x14ac:dyDescent="0.3">
      <c r="A17" s="12"/>
      <c r="B17" s="12"/>
      <c r="C17" s="12"/>
      <c r="D17" s="12"/>
      <c r="E17" s="12"/>
      <c r="F17" s="12" t="s">
        <v>11</v>
      </c>
      <c r="G17" s="12">
        <f>J16/1.5</f>
        <v>11.04</v>
      </c>
      <c r="H17" s="12">
        <f>ROUNDDOWN(G17,0)</f>
        <v>11</v>
      </c>
      <c r="I17" s="12">
        <v>2</v>
      </c>
      <c r="J17" s="12">
        <v>1.5</v>
      </c>
      <c r="K17" s="12">
        <v>0.5</v>
      </c>
      <c r="L17" s="12">
        <f>H17*I17*J17*K17</f>
        <v>16.5</v>
      </c>
      <c r="M17" s="12"/>
      <c r="N17" s="12"/>
      <c r="O17" s="12"/>
      <c r="P17" s="12"/>
    </row>
    <row r="18" spans="1:16" x14ac:dyDescent="0.3">
      <c r="A18" s="12"/>
      <c r="B18" s="12"/>
      <c r="C18" s="12"/>
      <c r="D18" s="12"/>
      <c r="E18" s="12"/>
      <c r="F18" s="1" t="s">
        <v>10</v>
      </c>
      <c r="G18" s="12">
        <v>3</v>
      </c>
      <c r="H18" s="12">
        <v>5</v>
      </c>
      <c r="I18" s="52" t="s">
        <v>9</v>
      </c>
      <c r="J18" s="52"/>
      <c r="K18" s="12"/>
      <c r="L18" s="12"/>
      <c r="M18" s="12"/>
      <c r="N18" s="12"/>
      <c r="O18" s="12"/>
      <c r="P18" s="12"/>
    </row>
    <row r="19" spans="1:16" x14ac:dyDescent="0.3">
      <c r="A19" s="12"/>
      <c r="B19" s="12"/>
      <c r="C19" s="12"/>
      <c r="D19" s="12"/>
      <c r="E19" s="12"/>
      <c r="F19" s="12"/>
      <c r="G19" s="12" t="s">
        <v>24</v>
      </c>
      <c r="H19" s="12">
        <v>2</v>
      </c>
      <c r="I19" s="21">
        <v>0.25</v>
      </c>
      <c r="J19" s="13">
        <f>J16*I19</f>
        <v>4.1399999999999997</v>
      </c>
      <c r="K19" s="12"/>
      <c r="L19" s="12"/>
      <c r="M19" s="12"/>
      <c r="N19" s="12"/>
      <c r="O19" s="12"/>
      <c r="P19" s="12"/>
    </row>
    <row r="20" spans="1:16" x14ac:dyDescent="0.3">
      <c r="A20" s="12"/>
      <c r="B20" s="12"/>
      <c r="C20" s="12"/>
      <c r="D20" s="12"/>
      <c r="E20" s="12"/>
      <c r="F20" s="12" t="s">
        <v>11</v>
      </c>
      <c r="G20" s="12">
        <f>J19/1.5</f>
        <v>2.76</v>
      </c>
      <c r="H20" s="12">
        <f>ROUNDDOWN(G20,0)</f>
        <v>2</v>
      </c>
      <c r="I20" s="12">
        <v>2</v>
      </c>
      <c r="J20" s="12">
        <v>1.5</v>
      </c>
      <c r="K20" s="12">
        <v>0.5</v>
      </c>
      <c r="L20" s="12">
        <f>H20*I20*J20*K20</f>
        <v>3</v>
      </c>
      <c r="M20" s="12"/>
      <c r="N20" s="12"/>
      <c r="O20" s="12"/>
      <c r="P20" s="12"/>
    </row>
  </sheetData>
  <mergeCells count="4">
    <mergeCell ref="H2:J2"/>
    <mergeCell ref="M2:O2"/>
    <mergeCell ref="I13:J13"/>
    <mergeCell ref="I18:J18"/>
  </mergeCells>
  <pageMargins left="0.7" right="0.7" top="0.75" bottom="0.75" header="0.3" footer="0.3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4"/>
  <sheetViews>
    <sheetView tabSelected="1" view="pageBreakPreview" topLeftCell="A26" zoomScale="115" zoomScaleNormal="100" zoomScaleSheetLayoutView="115" workbookViewId="0">
      <selection activeCell="C39" sqref="C39"/>
    </sheetView>
  </sheetViews>
  <sheetFormatPr defaultRowHeight="14.4" x14ac:dyDescent="0.3"/>
  <cols>
    <col min="1" max="1" width="11.33203125" bestFit="1" customWidth="1"/>
    <col min="2" max="2" width="11.6640625" bestFit="1" customWidth="1"/>
    <col min="5" max="5" width="10.5546875" bestFit="1" customWidth="1"/>
    <col min="8" max="8" width="10" bestFit="1" customWidth="1"/>
    <col min="12" max="12" width="14.5546875" bestFit="1" customWidth="1"/>
  </cols>
  <sheetData>
    <row r="2" spans="1:15" x14ac:dyDescent="0.3">
      <c r="A2" s="22" t="s">
        <v>25</v>
      </c>
      <c r="B2" s="22">
        <v>1</v>
      </c>
      <c r="C2" s="28">
        <f>M6</f>
        <v>0</v>
      </c>
      <c r="D2" s="22">
        <v>1030.81</v>
      </c>
      <c r="E2" s="39">
        <f>C2*D2</f>
        <v>0</v>
      </c>
      <c r="F2" s="28"/>
      <c r="H2" s="31">
        <v>1</v>
      </c>
      <c r="I2" s="1" t="s">
        <v>41</v>
      </c>
      <c r="J2" s="1" t="s">
        <v>42</v>
      </c>
      <c r="K2" s="1" t="s">
        <v>43</v>
      </c>
      <c r="L2" s="1" t="s">
        <v>44</v>
      </c>
      <c r="M2" s="1"/>
    </row>
    <row r="3" spans="1:15" x14ac:dyDescent="0.3">
      <c r="A3" s="22" t="s">
        <v>26</v>
      </c>
      <c r="B3" s="22">
        <v>2</v>
      </c>
      <c r="C3" s="28">
        <f>M27</f>
        <v>205.33124999999998</v>
      </c>
      <c r="D3" s="22">
        <v>89</v>
      </c>
      <c r="E3" s="39">
        <f>C3*D3</f>
        <v>18274.481249999997</v>
      </c>
      <c r="F3" s="28"/>
      <c r="H3" s="54" t="s">
        <v>25</v>
      </c>
      <c r="I3" s="28">
        <v>1</v>
      </c>
      <c r="J3" s="28">
        <v>0</v>
      </c>
      <c r="K3" s="28">
        <v>0.45</v>
      </c>
      <c r="L3" s="28">
        <v>0.1</v>
      </c>
      <c r="M3" s="28">
        <f>I3*J3*K3*L3</f>
        <v>0</v>
      </c>
    </row>
    <row r="4" spans="1:15" x14ac:dyDescent="0.3">
      <c r="A4" s="22" t="s">
        <v>27</v>
      </c>
      <c r="B4" s="22">
        <v>3</v>
      </c>
      <c r="C4" s="28"/>
      <c r="D4" s="25"/>
      <c r="E4" s="39"/>
      <c r="F4" s="28"/>
      <c r="H4" s="54"/>
      <c r="I4" s="28">
        <v>1</v>
      </c>
      <c r="J4" s="28">
        <v>0</v>
      </c>
      <c r="K4" s="28">
        <f>K3</f>
        <v>0.45</v>
      </c>
      <c r="L4" s="28">
        <v>0.1</v>
      </c>
      <c r="M4" s="28">
        <f>I4*J4*K4*L4</f>
        <v>0</v>
      </c>
    </row>
    <row r="5" spans="1:15" x14ac:dyDescent="0.3">
      <c r="A5" s="22"/>
      <c r="B5" s="23" t="s">
        <v>60</v>
      </c>
      <c r="C5" s="28">
        <f>N11</f>
        <v>0</v>
      </c>
      <c r="D5" s="26">
        <v>421</v>
      </c>
      <c r="E5" s="39">
        <f t="shared" ref="E5:E10" si="0">C5*D5</f>
        <v>0</v>
      </c>
      <c r="F5" s="28"/>
      <c r="H5" s="54"/>
      <c r="I5" s="28">
        <v>1</v>
      </c>
      <c r="J5" s="28">
        <v>0</v>
      </c>
      <c r="K5" s="28">
        <f>K4</f>
        <v>0.45</v>
      </c>
      <c r="L5" s="28">
        <v>0.1</v>
      </c>
      <c r="M5" s="28">
        <f>I5*J5*K5*L5</f>
        <v>0</v>
      </c>
    </row>
    <row r="6" spans="1:15" x14ac:dyDescent="0.3">
      <c r="A6" s="22"/>
      <c r="B6" s="23" t="s">
        <v>61</v>
      </c>
      <c r="C6" s="28">
        <f>N14</f>
        <v>100</v>
      </c>
      <c r="D6" s="26">
        <v>672</v>
      </c>
      <c r="E6" s="39">
        <f t="shared" si="0"/>
        <v>67200</v>
      </c>
      <c r="F6" s="28"/>
      <c r="L6" t="s">
        <v>45</v>
      </c>
      <c r="M6" s="30">
        <f>SUM(M3:M5)</f>
        <v>0</v>
      </c>
      <c r="N6" s="1" t="s">
        <v>53</v>
      </c>
    </row>
    <row r="7" spans="1:15" x14ac:dyDescent="0.3">
      <c r="A7" s="22"/>
      <c r="B7" s="23" t="s">
        <v>62</v>
      </c>
      <c r="C7" s="28">
        <f>N17</f>
        <v>92.5</v>
      </c>
      <c r="D7" s="26">
        <v>817</v>
      </c>
      <c r="E7" s="39">
        <f t="shared" si="0"/>
        <v>75572.5</v>
      </c>
      <c r="F7" s="28"/>
    </row>
    <row r="8" spans="1:15" x14ac:dyDescent="0.3">
      <c r="A8" s="22"/>
      <c r="B8" s="24" t="s">
        <v>63</v>
      </c>
      <c r="C8" s="28">
        <f>N20</f>
        <v>70</v>
      </c>
      <c r="D8" s="26">
        <v>1331</v>
      </c>
      <c r="E8" s="39">
        <f t="shared" si="0"/>
        <v>93170</v>
      </c>
      <c r="F8" s="28"/>
      <c r="H8" s="32">
        <v>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46</v>
      </c>
      <c r="N8" s="32" t="s">
        <v>66</v>
      </c>
    </row>
    <row r="9" spans="1:15" x14ac:dyDescent="0.3">
      <c r="A9" s="22"/>
      <c r="B9" s="24" t="s">
        <v>64</v>
      </c>
      <c r="C9" s="28">
        <f>N23</f>
        <v>0</v>
      </c>
      <c r="D9" s="26">
        <v>2476</v>
      </c>
      <c r="E9" s="39">
        <f t="shared" si="0"/>
        <v>0</v>
      </c>
      <c r="F9" s="28"/>
      <c r="G9" s="55" t="s">
        <v>59</v>
      </c>
      <c r="H9" s="54" t="s">
        <v>47</v>
      </c>
      <c r="I9" s="28">
        <v>1</v>
      </c>
      <c r="J9" s="28">
        <v>0</v>
      </c>
      <c r="K9" s="28">
        <v>0.45</v>
      </c>
      <c r="L9" s="28">
        <v>0.83</v>
      </c>
      <c r="M9" s="39">
        <f t="shared" ref="M9:M26" si="1">I9*J9*K9*L9</f>
        <v>0</v>
      </c>
      <c r="N9" s="28"/>
    </row>
    <row r="10" spans="1:15" x14ac:dyDescent="0.3">
      <c r="A10" s="22"/>
      <c r="B10" s="24" t="s">
        <v>65</v>
      </c>
      <c r="C10" s="28">
        <f>N26</f>
        <v>0</v>
      </c>
      <c r="D10" s="26">
        <v>4121</v>
      </c>
      <c r="E10" s="39">
        <f t="shared" si="0"/>
        <v>0</v>
      </c>
      <c r="F10" s="28"/>
      <c r="G10" s="55"/>
      <c r="H10" s="54"/>
      <c r="I10" s="28">
        <v>1</v>
      </c>
      <c r="J10" s="28">
        <v>0</v>
      </c>
      <c r="K10" s="28">
        <v>0.45</v>
      </c>
      <c r="L10" s="28">
        <v>0.83</v>
      </c>
      <c r="M10" s="39">
        <f t="shared" si="1"/>
        <v>0</v>
      </c>
      <c r="N10" s="28"/>
    </row>
    <row r="11" spans="1:15" x14ac:dyDescent="0.3">
      <c r="A11" s="22" t="s">
        <v>28</v>
      </c>
      <c r="B11" s="22">
        <v>4</v>
      </c>
      <c r="C11" s="28"/>
      <c r="D11" s="25"/>
      <c r="E11" s="39"/>
      <c r="F11" s="28"/>
      <c r="G11" s="55"/>
      <c r="H11" s="54"/>
      <c r="I11" s="28">
        <v>1</v>
      </c>
      <c r="J11" s="28">
        <v>0</v>
      </c>
      <c r="K11" s="28">
        <v>0.45</v>
      </c>
      <c r="L11" s="28">
        <v>0.83</v>
      </c>
      <c r="M11" s="39">
        <f t="shared" si="1"/>
        <v>0</v>
      </c>
      <c r="N11" s="34">
        <f>SUM(J9:J11)</f>
        <v>0</v>
      </c>
      <c r="O11" s="1" t="s">
        <v>54</v>
      </c>
    </row>
    <row r="12" spans="1:15" x14ac:dyDescent="0.3">
      <c r="A12" s="22"/>
      <c r="B12" s="23" t="s">
        <v>60</v>
      </c>
      <c r="C12" s="28">
        <f t="shared" ref="C12:C17" si="2">C5</f>
        <v>0</v>
      </c>
      <c r="D12" s="26">
        <v>88</v>
      </c>
      <c r="E12" s="39">
        <f t="shared" ref="E12:E17" si="3">C12*D12</f>
        <v>0</v>
      </c>
      <c r="F12" s="28"/>
      <c r="G12" s="55"/>
      <c r="H12" s="54" t="s">
        <v>48</v>
      </c>
      <c r="I12" s="28">
        <v>1</v>
      </c>
      <c r="J12" s="28">
        <v>30</v>
      </c>
      <c r="K12" s="28">
        <v>0.45</v>
      </c>
      <c r="L12" s="28">
        <v>0.9</v>
      </c>
      <c r="M12" s="39">
        <f t="shared" si="1"/>
        <v>12.15</v>
      </c>
      <c r="N12" s="35"/>
      <c r="O12" s="1"/>
    </row>
    <row r="13" spans="1:15" x14ac:dyDescent="0.3">
      <c r="A13" s="22"/>
      <c r="B13" s="23" t="s">
        <v>61</v>
      </c>
      <c r="C13" s="28">
        <f t="shared" si="2"/>
        <v>100</v>
      </c>
      <c r="D13" s="26">
        <v>119</v>
      </c>
      <c r="E13" s="39">
        <f t="shared" si="3"/>
        <v>11900</v>
      </c>
      <c r="F13" s="28"/>
      <c r="G13" s="55"/>
      <c r="H13" s="54"/>
      <c r="I13" s="28">
        <v>1</v>
      </c>
      <c r="J13" s="28">
        <v>30</v>
      </c>
      <c r="K13" s="28">
        <v>0.45</v>
      </c>
      <c r="L13" s="28">
        <v>0.9</v>
      </c>
      <c r="M13" s="39">
        <f t="shared" si="1"/>
        <v>12.15</v>
      </c>
      <c r="N13" s="35"/>
      <c r="O13" s="1"/>
    </row>
    <row r="14" spans="1:15" x14ac:dyDescent="0.3">
      <c r="A14" s="22"/>
      <c r="B14" s="23" t="s">
        <v>62</v>
      </c>
      <c r="C14" s="28">
        <f t="shared" si="2"/>
        <v>92.5</v>
      </c>
      <c r="D14" s="26">
        <v>171</v>
      </c>
      <c r="E14" s="39">
        <f t="shared" si="3"/>
        <v>15817.5</v>
      </c>
      <c r="F14" s="28"/>
      <c r="G14" s="55"/>
      <c r="H14" s="54"/>
      <c r="I14" s="28">
        <v>1</v>
      </c>
      <c r="J14" s="28">
        <v>40</v>
      </c>
      <c r="K14" s="28">
        <v>0.45</v>
      </c>
      <c r="L14" s="28">
        <v>0.9</v>
      </c>
      <c r="M14" s="39">
        <f t="shared" si="1"/>
        <v>16.2</v>
      </c>
      <c r="N14" s="34">
        <f>SUM(J12:J14)</f>
        <v>100</v>
      </c>
      <c r="O14" s="1" t="s">
        <v>54</v>
      </c>
    </row>
    <row r="15" spans="1:15" x14ac:dyDescent="0.3">
      <c r="A15" s="22"/>
      <c r="B15" s="24" t="s">
        <v>63</v>
      </c>
      <c r="C15" s="28">
        <f t="shared" si="2"/>
        <v>70</v>
      </c>
      <c r="D15" s="26">
        <v>228</v>
      </c>
      <c r="E15" s="39">
        <f t="shared" si="3"/>
        <v>15960</v>
      </c>
      <c r="F15" s="28"/>
      <c r="G15" s="55"/>
      <c r="H15" s="54" t="s">
        <v>49</v>
      </c>
      <c r="I15" s="28">
        <v>1</v>
      </c>
      <c r="J15" s="28">
        <v>30</v>
      </c>
      <c r="K15" s="28">
        <v>0.75</v>
      </c>
      <c r="L15" s="28">
        <v>1.1499999999999999</v>
      </c>
      <c r="M15" s="39">
        <f t="shared" si="1"/>
        <v>25.874999999999996</v>
      </c>
      <c r="N15" s="35"/>
      <c r="O15" s="1"/>
    </row>
    <row r="16" spans="1:15" x14ac:dyDescent="0.3">
      <c r="A16" s="22"/>
      <c r="B16" s="24" t="s">
        <v>64</v>
      </c>
      <c r="C16" s="28">
        <f t="shared" si="2"/>
        <v>0</v>
      </c>
      <c r="D16" s="26">
        <v>340</v>
      </c>
      <c r="E16" s="39">
        <f t="shared" si="3"/>
        <v>0</v>
      </c>
      <c r="F16" s="28"/>
      <c r="G16" s="55"/>
      <c r="H16" s="54"/>
      <c r="I16" s="28">
        <v>1</v>
      </c>
      <c r="J16" s="28">
        <v>30</v>
      </c>
      <c r="K16" s="28">
        <v>0.75</v>
      </c>
      <c r="L16" s="28">
        <v>1.1499999999999999</v>
      </c>
      <c r="M16" s="39">
        <f t="shared" si="1"/>
        <v>25.874999999999996</v>
      </c>
      <c r="N16" s="35"/>
      <c r="O16" s="1"/>
    </row>
    <row r="17" spans="1:15" x14ac:dyDescent="0.3">
      <c r="A17" s="22"/>
      <c r="B17" s="24" t="s">
        <v>65</v>
      </c>
      <c r="C17" s="28">
        <f t="shared" si="2"/>
        <v>0</v>
      </c>
      <c r="D17" s="26">
        <v>440</v>
      </c>
      <c r="E17" s="39">
        <f t="shared" si="3"/>
        <v>0</v>
      </c>
      <c r="F17" s="28"/>
      <c r="G17" s="55"/>
      <c r="H17" s="54"/>
      <c r="I17" s="28">
        <v>1</v>
      </c>
      <c r="J17" s="28">
        <v>32.5</v>
      </c>
      <c r="K17" s="28">
        <v>0.75</v>
      </c>
      <c r="L17" s="28">
        <v>1.1499999999999999</v>
      </c>
      <c r="M17" s="39">
        <f t="shared" si="1"/>
        <v>28.031249999999996</v>
      </c>
      <c r="N17" s="34">
        <f>SUM(J15:J17)</f>
        <v>92.5</v>
      </c>
      <c r="O17" s="1" t="s">
        <v>54</v>
      </c>
    </row>
    <row r="18" spans="1:15" x14ac:dyDescent="0.3">
      <c r="A18" s="22" t="s">
        <v>29</v>
      </c>
      <c r="B18" s="22">
        <v>5</v>
      </c>
      <c r="C18" s="28"/>
      <c r="D18" s="25"/>
      <c r="E18" s="39"/>
      <c r="F18" s="28"/>
      <c r="G18" s="55"/>
      <c r="H18" s="54" t="s">
        <v>50</v>
      </c>
      <c r="I18" s="28">
        <v>1</v>
      </c>
      <c r="J18" s="28">
        <v>30</v>
      </c>
      <c r="K18" s="28">
        <v>0.9</v>
      </c>
      <c r="L18" s="28">
        <v>1.35</v>
      </c>
      <c r="M18" s="39">
        <f t="shared" si="1"/>
        <v>36.450000000000003</v>
      </c>
      <c r="N18" s="35"/>
      <c r="O18" s="1"/>
    </row>
    <row r="19" spans="1:15" x14ac:dyDescent="0.3">
      <c r="A19" s="22"/>
      <c r="B19" s="22" t="s">
        <v>37</v>
      </c>
      <c r="C19" s="28">
        <f>I30</f>
        <v>0</v>
      </c>
      <c r="D19" s="26">
        <v>5138</v>
      </c>
      <c r="E19" s="39">
        <f t="shared" ref="E19:E27" si="4">C19*D19</f>
        <v>0</v>
      </c>
      <c r="F19" s="28"/>
      <c r="G19" s="55"/>
      <c r="H19" s="54"/>
      <c r="I19" s="28">
        <v>1</v>
      </c>
      <c r="J19" s="28">
        <v>30</v>
      </c>
      <c r="K19" s="28">
        <v>0.9</v>
      </c>
      <c r="L19" s="28">
        <v>1.35</v>
      </c>
      <c r="M19" s="39">
        <f t="shared" si="1"/>
        <v>36.450000000000003</v>
      </c>
      <c r="N19" s="35"/>
      <c r="O19" s="1"/>
    </row>
    <row r="20" spans="1:15" x14ac:dyDescent="0.3">
      <c r="A20" s="22"/>
      <c r="B20" s="22" t="s">
        <v>38</v>
      </c>
      <c r="C20" s="28">
        <f>I31</f>
        <v>5</v>
      </c>
      <c r="D20" s="26">
        <v>7343</v>
      </c>
      <c r="E20" s="39">
        <f t="shared" si="4"/>
        <v>36715</v>
      </c>
      <c r="F20" s="28"/>
      <c r="G20" s="55"/>
      <c r="H20" s="54"/>
      <c r="I20" s="28">
        <v>1</v>
      </c>
      <c r="J20" s="28">
        <v>10</v>
      </c>
      <c r="K20" s="28">
        <v>0.9</v>
      </c>
      <c r="L20" s="28">
        <v>1.35</v>
      </c>
      <c r="M20" s="39">
        <f t="shared" si="1"/>
        <v>12.15</v>
      </c>
      <c r="N20" s="34">
        <f>SUM(J18:J20)</f>
        <v>70</v>
      </c>
      <c r="O20" s="1" t="s">
        <v>54</v>
      </c>
    </row>
    <row r="21" spans="1:15" x14ac:dyDescent="0.3">
      <c r="A21" s="22"/>
      <c r="B21" s="22" t="s">
        <v>39</v>
      </c>
      <c r="C21" s="28">
        <f>I32</f>
        <v>2</v>
      </c>
      <c r="D21" s="26">
        <v>8882</v>
      </c>
      <c r="E21" s="39">
        <f t="shared" si="4"/>
        <v>17764</v>
      </c>
      <c r="F21" s="28"/>
      <c r="G21" s="55"/>
      <c r="H21" s="54" t="s">
        <v>51</v>
      </c>
      <c r="I21" s="28">
        <v>1</v>
      </c>
      <c r="J21" s="28">
        <v>0</v>
      </c>
      <c r="K21" s="28">
        <v>1.2</v>
      </c>
      <c r="L21" s="28">
        <v>1.8</v>
      </c>
      <c r="M21" s="39">
        <f t="shared" si="1"/>
        <v>0</v>
      </c>
      <c r="N21" s="35"/>
      <c r="O21" s="1"/>
    </row>
    <row r="22" spans="1:15" x14ac:dyDescent="0.3">
      <c r="A22" s="22"/>
      <c r="B22" s="22" t="s">
        <v>40</v>
      </c>
      <c r="C22" s="28">
        <f>I33</f>
        <v>0</v>
      </c>
      <c r="D22" s="36">
        <v>10698</v>
      </c>
      <c r="E22" s="39">
        <f t="shared" si="4"/>
        <v>0</v>
      </c>
      <c r="F22" s="28"/>
      <c r="G22" s="55"/>
      <c r="H22" s="54"/>
      <c r="I22" s="28">
        <v>1</v>
      </c>
      <c r="J22" s="28">
        <v>0</v>
      </c>
      <c r="K22" s="28">
        <v>1.2</v>
      </c>
      <c r="L22" s="28">
        <v>1.8</v>
      </c>
      <c r="M22" s="39">
        <f t="shared" si="1"/>
        <v>0</v>
      </c>
      <c r="N22" s="35"/>
      <c r="O22" s="1"/>
    </row>
    <row r="23" spans="1:15" x14ac:dyDescent="0.3">
      <c r="A23" s="22" t="s">
        <v>30</v>
      </c>
      <c r="B23" s="22">
        <v>6</v>
      </c>
      <c r="C23" s="28">
        <f>M44</f>
        <v>154.34549999999999</v>
      </c>
      <c r="D23" s="27">
        <v>22</v>
      </c>
      <c r="E23" s="39">
        <f t="shared" si="4"/>
        <v>3395.6009999999997</v>
      </c>
      <c r="F23" s="28"/>
      <c r="G23" s="55"/>
      <c r="H23" s="54"/>
      <c r="I23" s="28">
        <v>1</v>
      </c>
      <c r="J23" s="28">
        <v>0</v>
      </c>
      <c r="K23" s="28">
        <v>1.2</v>
      </c>
      <c r="L23" s="28">
        <v>1.8</v>
      </c>
      <c r="M23" s="39">
        <f t="shared" si="1"/>
        <v>0</v>
      </c>
      <c r="N23" s="34">
        <f>SUM(J21:J23)</f>
        <v>0</v>
      </c>
      <c r="O23" s="1" t="s">
        <v>54</v>
      </c>
    </row>
    <row r="24" spans="1:15" x14ac:dyDescent="0.3">
      <c r="A24" s="22" t="s">
        <v>31</v>
      </c>
      <c r="B24" s="22">
        <v>6</v>
      </c>
      <c r="C24" s="28">
        <f>C19+C20+C21+C22</f>
        <v>7</v>
      </c>
      <c r="D24" s="27">
        <v>1121</v>
      </c>
      <c r="E24" s="39">
        <f t="shared" si="4"/>
        <v>7847</v>
      </c>
      <c r="F24" s="28"/>
      <c r="G24" s="55"/>
      <c r="H24" s="54" t="s">
        <v>52</v>
      </c>
      <c r="I24" s="28">
        <v>1</v>
      </c>
      <c r="J24" s="28">
        <v>0</v>
      </c>
      <c r="K24" s="28">
        <v>1.5</v>
      </c>
      <c r="L24" s="28">
        <v>2.2000000000000002</v>
      </c>
      <c r="M24" s="39">
        <f t="shared" si="1"/>
        <v>0</v>
      </c>
      <c r="N24" s="35"/>
      <c r="O24" s="1"/>
    </row>
    <row r="25" spans="1:15" x14ac:dyDescent="0.3">
      <c r="A25" s="22" t="s">
        <v>32</v>
      </c>
      <c r="B25" s="22">
        <v>7.2</v>
      </c>
      <c r="C25" s="28">
        <f>C24</f>
        <v>7</v>
      </c>
      <c r="D25" s="27">
        <v>1173</v>
      </c>
      <c r="E25" s="39">
        <f t="shared" si="4"/>
        <v>8211</v>
      </c>
      <c r="F25" s="28"/>
      <c r="G25" s="55"/>
      <c r="H25" s="54"/>
      <c r="I25" s="28">
        <v>1</v>
      </c>
      <c r="J25" s="28">
        <v>0</v>
      </c>
      <c r="K25" s="28">
        <v>1.5</v>
      </c>
      <c r="L25" s="28">
        <v>2.2000000000000002</v>
      </c>
      <c r="M25" s="39">
        <f t="shared" si="1"/>
        <v>0</v>
      </c>
      <c r="N25" s="35"/>
      <c r="O25" s="1"/>
    </row>
    <row r="26" spans="1:15" x14ac:dyDescent="0.3">
      <c r="A26" s="22" t="s">
        <v>33</v>
      </c>
      <c r="B26" s="22">
        <v>8</v>
      </c>
      <c r="C26" s="28">
        <f>F39</f>
        <v>0</v>
      </c>
      <c r="D26" s="27">
        <v>3652.31</v>
      </c>
      <c r="E26" s="39">
        <f t="shared" si="4"/>
        <v>0</v>
      </c>
      <c r="F26" s="28"/>
      <c r="G26" s="55"/>
      <c r="H26" s="54"/>
      <c r="I26" s="28">
        <v>1</v>
      </c>
      <c r="J26" s="28">
        <v>0</v>
      </c>
      <c r="K26" s="28">
        <v>1.5</v>
      </c>
      <c r="L26" s="28">
        <v>2.2000000000000002</v>
      </c>
      <c r="M26" s="39">
        <f t="shared" si="1"/>
        <v>0</v>
      </c>
      <c r="N26" s="34">
        <f>SUM(J24:J26)</f>
        <v>0</v>
      </c>
      <c r="O26" s="1" t="s">
        <v>54</v>
      </c>
    </row>
    <row r="27" spans="1:15" x14ac:dyDescent="0.3">
      <c r="A27" s="22" t="s">
        <v>34</v>
      </c>
      <c r="B27" s="22">
        <v>9</v>
      </c>
      <c r="C27" s="28">
        <v>1</v>
      </c>
      <c r="D27" s="27">
        <v>306.14</v>
      </c>
      <c r="E27" s="39">
        <f t="shared" si="4"/>
        <v>306.14</v>
      </c>
      <c r="F27" s="28"/>
      <c r="I27" s="28"/>
      <c r="J27" s="28"/>
      <c r="K27" s="28"/>
      <c r="L27" s="1" t="s">
        <v>45</v>
      </c>
      <c r="M27" s="58">
        <f>SUM(M9:M26)</f>
        <v>205.33124999999998</v>
      </c>
      <c r="N27" s="1" t="s">
        <v>53</v>
      </c>
    </row>
    <row r="28" spans="1:15" x14ac:dyDescent="0.3">
      <c r="E28" s="39">
        <f>SUM(E2:E27)</f>
        <v>372133.22225000005</v>
      </c>
      <c r="F28" s="28"/>
    </row>
    <row r="29" spans="1:15" x14ac:dyDescent="0.3">
      <c r="C29" t="s">
        <v>18</v>
      </c>
      <c r="D29" s="29">
        <v>0.18</v>
      </c>
      <c r="E29" s="39">
        <f>E28*18%</f>
        <v>66983.980005000005</v>
      </c>
      <c r="F29" s="28"/>
      <c r="H29" s="33" t="s">
        <v>76</v>
      </c>
      <c r="I29" s="1" t="s">
        <v>29</v>
      </c>
      <c r="K29" s="28"/>
    </row>
    <row r="30" spans="1:15" x14ac:dyDescent="0.3">
      <c r="D30" t="s">
        <v>19</v>
      </c>
      <c r="E30" s="40">
        <f>E28+E29</f>
        <v>439117.20225500007</v>
      </c>
      <c r="H30" s="1" t="s">
        <v>55</v>
      </c>
      <c r="I30" s="28">
        <v>0</v>
      </c>
      <c r="J30" s="1" t="s">
        <v>77</v>
      </c>
    </row>
    <row r="31" spans="1:15" x14ac:dyDescent="0.3">
      <c r="D31" t="s">
        <v>20</v>
      </c>
      <c r="H31" s="1" t="s">
        <v>56</v>
      </c>
      <c r="I31" s="28">
        <v>5</v>
      </c>
      <c r="J31" s="1" t="s">
        <v>77</v>
      </c>
    </row>
    <row r="32" spans="1:15" x14ac:dyDescent="0.3">
      <c r="D32" t="s">
        <v>21</v>
      </c>
      <c r="H32" s="1" t="s">
        <v>57</v>
      </c>
      <c r="I32" s="28">
        <v>2</v>
      </c>
      <c r="J32" s="1" t="s">
        <v>77</v>
      </c>
    </row>
    <row r="33" spans="1:14" x14ac:dyDescent="0.3">
      <c r="H33" s="1" t="s">
        <v>58</v>
      </c>
      <c r="I33" s="28">
        <v>0</v>
      </c>
      <c r="J33" s="1" t="s">
        <v>77</v>
      </c>
    </row>
    <row r="35" spans="1:14" x14ac:dyDescent="0.3">
      <c r="A35" s="31">
        <v>8</v>
      </c>
      <c r="B35" s="1" t="s">
        <v>41</v>
      </c>
      <c r="C35" s="1" t="s">
        <v>42</v>
      </c>
      <c r="D35" s="1" t="s">
        <v>43</v>
      </c>
      <c r="E35" s="1" t="s">
        <v>44</v>
      </c>
      <c r="F35" s="1"/>
      <c r="H35" s="33">
        <v>6</v>
      </c>
      <c r="I35" s="1" t="s">
        <v>67</v>
      </c>
      <c r="J35" s="38" t="s">
        <v>72</v>
      </c>
      <c r="K35" s="1">
        <v>3.14</v>
      </c>
      <c r="L35" s="1" t="s">
        <v>73</v>
      </c>
    </row>
    <row r="36" spans="1:14" x14ac:dyDescent="0.3">
      <c r="A36" s="54" t="s">
        <v>33</v>
      </c>
      <c r="B36" s="28">
        <v>1</v>
      </c>
      <c r="C36" s="28">
        <v>0</v>
      </c>
      <c r="D36" s="28">
        <v>0.45</v>
      </c>
      <c r="E36" s="28">
        <v>0.05</v>
      </c>
      <c r="F36" s="28">
        <f>B36*C36*D36*E36</f>
        <v>0</v>
      </c>
      <c r="H36" s="37"/>
      <c r="I36" s="1"/>
      <c r="J36" s="38"/>
      <c r="K36" s="1"/>
      <c r="L36" s="1" t="s">
        <v>74</v>
      </c>
      <c r="M36" s="39">
        <f>M27</f>
        <v>205.33124999999998</v>
      </c>
      <c r="N36" s="1" t="s">
        <v>53</v>
      </c>
    </row>
    <row r="37" spans="1:14" x14ac:dyDescent="0.3">
      <c r="A37" s="54"/>
      <c r="B37" s="28">
        <v>1</v>
      </c>
      <c r="C37" s="28">
        <v>0</v>
      </c>
      <c r="D37" s="28">
        <f>D36</f>
        <v>0.45</v>
      </c>
      <c r="E37" s="28">
        <f>E36</f>
        <v>0.05</v>
      </c>
      <c r="F37" s="28">
        <f>B37*C37*D37*E37</f>
        <v>0</v>
      </c>
      <c r="H37" s="23" t="s">
        <v>68</v>
      </c>
      <c r="I37" s="1">
        <v>0.78500000000000003</v>
      </c>
      <c r="J37" s="28">
        <v>0.3</v>
      </c>
      <c r="K37" s="28">
        <f t="shared" ref="K37:K42" si="5">J37</f>
        <v>0.3</v>
      </c>
      <c r="L37" s="28">
        <f>N11</f>
        <v>0</v>
      </c>
      <c r="M37" s="39">
        <f t="shared" ref="M37:M42" si="6">I37*J37*K37*L37</f>
        <v>0</v>
      </c>
    </row>
    <row r="38" spans="1:14" x14ac:dyDescent="0.3">
      <c r="A38" s="54"/>
      <c r="B38" s="28">
        <v>1</v>
      </c>
      <c r="C38" s="28">
        <v>0</v>
      </c>
      <c r="D38" s="28">
        <f>D37</f>
        <v>0.45</v>
      </c>
      <c r="E38" s="28">
        <f>E37</f>
        <v>0.05</v>
      </c>
      <c r="F38" s="28">
        <f>B38*C38*D38*E38</f>
        <v>0</v>
      </c>
      <c r="H38" s="23" t="s">
        <v>69</v>
      </c>
      <c r="I38" s="1">
        <v>0.78500000000000003</v>
      </c>
      <c r="J38" s="28">
        <v>0.35</v>
      </c>
      <c r="K38" s="28">
        <f t="shared" si="5"/>
        <v>0.35</v>
      </c>
      <c r="L38" s="28">
        <f>N14</f>
        <v>100</v>
      </c>
      <c r="M38" s="39">
        <f t="shared" si="6"/>
        <v>9.6162499999999991</v>
      </c>
    </row>
    <row r="39" spans="1:14" x14ac:dyDescent="0.3">
      <c r="E39" t="s">
        <v>45</v>
      </c>
      <c r="F39" s="30">
        <f>SUM(F36:F38)</f>
        <v>0</v>
      </c>
      <c r="G39" s="1" t="s">
        <v>53</v>
      </c>
      <c r="H39" s="23" t="s">
        <v>70</v>
      </c>
      <c r="I39" s="1">
        <v>0.78500000000000003</v>
      </c>
      <c r="J39" s="28">
        <v>0.5</v>
      </c>
      <c r="K39" s="28">
        <f t="shared" si="5"/>
        <v>0.5</v>
      </c>
      <c r="L39" s="28">
        <f>N17</f>
        <v>92.5</v>
      </c>
      <c r="M39" s="39">
        <f t="shared" si="6"/>
        <v>18.153124999999999</v>
      </c>
    </row>
    <row r="40" spans="1:14" x14ac:dyDescent="0.3">
      <c r="H40" s="24" t="s">
        <v>35</v>
      </c>
      <c r="I40" s="1">
        <v>0.78500000000000003</v>
      </c>
      <c r="J40" s="28">
        <v>0.65</v>
      </c>
      <c r="K40" s="28">
        <f t="shared" si="5"/>
        <v>0.65</v>
      </c>
      <c r="L40" s="28">
        <f>N20</f>
        <v>70</v>
      </c>
      <c r="M40" s="39">
        <f t="shared" si="6"/>
        <v>23.216375000000006</v>
      </c>
    </row>
    <row r="41" spans="1:14" x14ac:dyDescent="0.3">
      <c r="H41" s="24" t="s">
        <v>36</v>
      </c>
      <c r="I41" s="1">
        <v>0.78500000000000003</v>
      </c>
      <c r="J41" s="28">
        <v>1</v>
      </c>
      <c r="K41" s="28">
        <f t="shared" si="5"/>
        <v>1</v>
      </c>
      <c r="L41" s="28">
        <f>N23</f>
        <v>0</v>
      </c>
      <c r="M41" s="39">
        <f t="shared" si="6"/>
        <v>0</v>
      </c>
    </row>
    <row r="42" spans="1:14" x14ac:dyDescent="0.3">
      <c r="H42" s="24" t="s">
        <v>71</v>
      </c>
      <c r="I42" s="1">
        <v>0.78500000000000003</v>
      </c>
      <c r="J42" s="28">
        <v>1.2</v>
      </c>
      <c r="K42" s="28">
        <f t="shared" si="5"/>
        <v>1.2</v>
      </c>
      <c r="L42" s="28">
        <f>N26</f>
        <v>0</v>
      </c>
      <c r="M42" s="39">
        <f t="shared" si="6"/>
        <v>0</v>
      </c>
    </row>
    <row r="43" spans="1:14" x14ac:dyDescent="0.3">
      <c r="L43" s="1" t="s">
        <v>45</v>
      </c>
      <c r="M43" s="39">
        <f>SUM(M37:M42)</f>
        <v>50.985750000000003</v>
      </c>
      <c r="N43" s="1" t="s">
        <v>53</v>
      </c>
    </row>
    <row r="44" spans="1:14" x14ac:dyDescent="0.3">
      <c r="L44" s="1" t="s">
        <v>75</v>
      </c>
      <c r="M44" s="45">
        <f>M36-M43</f>
        <v>154.34549999999999</v>
      </c>
      <c r="N44" s="1" t="s">
        <v>53</v>
      </c>
    </row>
  </sheetData>
  <mergeCells count="9">
    <mergeCell ref="H24:H26"/>
    <mergeCell ref="G9:G26"/>
    <mergeCell ref="A36:A38"/>
    <mergeCell ref="H3:H5"/>
    <mergeCell ref="H9:H11"/>
    <mergeCell ref="H12:H14"/>
    <mergeCell ref="H15:H17"/>
    <mergeCell ref="H18:H20"/>
    <mergeCell ref="H21:H23"/>
  </mergeCells>
  <pageMargins left="0.7" right="0.7" top="0.75" bottom="0.75" header="0.3" footer="0.3"/>
  <pageSetup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1"/>
  <sheetViews>
    <sheetView view="pageBreakPreview" zoomScale="130" zoomScaleNormal="100" zoomScaleSheetLayoutView="130" workbookViewId="0">
      <selection activeCell="N7" sqref="N7"/>
    </sheetView>
  </sheetViews>
  <sheetFormatPr defaultRowHeight="14.4" x14ac:dyDescent="0.3"/>
  <cols>
    <col min="1" max="1" width="11.33203125" bestFit="1" customWidth="1"/>
    <col min="2" max="2" width="11.6640625" bestFit="1" customWidth="1"/>
    <col min="5" max="5" width="10.5546875" bestFit="1" customWidth="1"/>
    <col min="8" max="8" width="10" bestFit="1" customWidth="1"/>
    <col min="12" max="12" width="14.5546875" bestFit="1" customWidth="1"/>
  </cols>
  <sheetData>
    <row r="2" spans="1:15" x14ac:dyDescent="0.3">
      <c r="A2" s="22" t="s">
        <v>25</v>
      </c>
      <c r="B2" s="22">
        <v>1</v>
      </c>
      <c r="C2" s="28">
        <f>M6</f>
        <v>0</v>
      </c>
      <c r="D2" s="22">
        <v>202.2</v>
      </c>
      <c r="E2" s="39">
        <f>C2*D2</f>
        <v>0</v>
      </c>
      <c r="F2" s="28"/>
      <c r="H2" s="31">
        <v>1</v>
      </c>
      <c r="I2" s="1" t="s">
        <v>41</v>
      </c>
      <c r="J2" s="1" t="s">
        <v>42</v>
      </c>
      <c r="K2" s="1" t="s">
        <v>43</v>
      </c>
      <c r="L2" s="1" t="s">
        <v>44</v>
      </c>
      <c r="M2" s="1"/>
    </row>
    <row r="3" spans="1:15" x14ac:dyDescent="0.3">
      <c r="A3" s="22" t="s">
        <v>26</v>
      </c>
      <c r="B3" s="22">
        <v>2</v>
      </c>
      <c r="C3" s="28">
        <f>M21</f>
        <v>106.92000000000002</v>
      </c>
      <c r="D3" s="22">
        <v>89</v>
      </c>
      <c r="E3" s="39">
        <f>C3*D3</f>
        <v>9515.880000000001</v>
      </c>
      <c r="F3" s="28"/>
      <c r="H3" s="54" t="s">
        <v>25</v>
      </c>
      <c r="I3" s="28">
        <v>1</v>
      </c>
      <c r="J3" s="28">
        <v>0</v>
      </c>
      <c r="K3" s="28">
        <v>0.45</v>
      </c>
      <c r="L3" s="28"/>
      <c r="M3" s="39">
        <f>I3*J3*K3</f>
        <v>0</v>
      </c>
    </row>
    <row r="4" spans="1:15" x14ac:dyDescent="0.3">
      <c r="A4" s="22" t="s">
        <v>82</v>
      </c>
      <c r="B4" s="22">
        <v>3</v>
      </c>
      <c r="C4" s="28"/>
      <c r="D4" s="25"/>
      <c r="E4" s="39"/>
      <c r="F4" s="28"/>
      <c r="H4" s="54"/>
      <c r="I4" s="28">
        <v>1</v>
      </c>
      <c r="J4" s="28">
        <v>0</v>
      </c>
      <c r="K4" s="28">
        <f>K3</f>
        <v>0.45</v>
      </c>
      <c r="L4" s="28"/>
      <c r="M4" s="39">
        <f>I4*J4*K4</f>
        <v>0</v>
      </c>
    </row>
    <row r="5" spans="1:15" x14ac:dyDescent="0.3">
      <c r="A5" s="22"/>
      <c r="B5" s="23" t="s">
        <v>81</v>
      </c>
      <c r="C5" s="28">
        <f>N11</f>
        <v>0</v>
      </c>
      <c r="D5" s="26">
        <v>69</v>
      </c>
      <c r="E5" s="39">
        <f t="shared" ref="E5:E8" si="0">C5*D5</f>
        <v>0</v>
      </c>
      <c r="F5" s="28"/>
      <c r="H5" s="54"/>
      <c r="I5" s="28">
        <v>1</v>
      </c>
      <c r="J5" s="28">
        <v>0</v>
      </c>
      <c r="K5" s="28">
        <f>K4</f>
        <v>0.45</v>
      </c>
      <c r="L5" s="28"/>
      <c r="M5" s="39">
        <f>I5*J5*K5</f>
        <v>0</v>
      </c>
    </row>
    <row r="6" spans="1:15" x14ac:dyDescent="0.3">
      <c r="A6" s="22"/>
      <c r="B6" s="23" t="s">
        <v>78</v>
      </c>
      <c r="C6" s="28">
        <f>N14</f>
        <v>0</v>
      </c>
      <c r="D6" s="26">
        <v>96</v>
      </c>
      <c r="E6" s="39">
        <f t="shared" si="0"/>
        <v>0</v>
      </c>
      <c r="F6" s="28"/>
      <c r="L6" s="1" t="s">
        <v>45</v>
      </c>
      <c r="M6" s="43">
        <f>SUM(M3:M5)</f>
        <v>0</v>
      </c>
      <c r="N6" s="1" t="s">
        <v>95</v>
      </c>
    </row>
    <row r="7" spans="1:15" x14ac:dyDescent="0.3">
      <c r="A7" s="22"/>
      <c r="B7" s="23" t="s">
        <v>79</v>
      </c>
      <c r="C7" s="28">
        <f>N17</f>
        <v>168</v>
      </c>
      <c r="D7" s="26">
        <v>139</v>
      </c>
      <c r="E7" s="39">
        <f t="shared" si="0"/>
        <v>23352</v>
      </c>
      <c r="F7" s="28"/>
    </row>
    <row r="8" spans="1:15" x14ac:dyDescent="0.3">
      <c r="A8" s="22"/>
      <c r="B8" s="24" t="s">
        <v>80</v>
      </c>
      <c r="C8" s="28">
        <f>N20</f>
        <v>96</v>
      </c>
      <c r="D8" s="26">
        <v>199</v>
      </c>
      <c r="E8" s="39">
        <f t="shared" si="0"/>
        <v>19104</v>
      </c>
      <c r="F8" s="28"/>
      <c r="H8" s="32">
        <v>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46</v>
      </c>
      <c r="N8" s="32" t="s">
        <v>66</v>
      </c>
    </row>
    <row r="9" spans="1:15" x14ac:dyDescent="0.3">
      <c r="A9" s="22" t="s">
        <v>28</v>
      </c>
      <c r="B9" s="22">
        <v>4</v>
      </c>
      <c r="C9" s="28"/>
      <c r="D9" s="25"/>
      <c r="E9" s="39"/>
      <c r="F9" s="28"/>
      <c r="G9" s="57" t="s">
        <v>82</v>
      </c>
      <c r="H9" s="54" t="s">
        <v>84</v>
      </c>
      <c r="I9" s="28">
        <v>1</v>
      </c>
      <c r="J9" s="28">
        <v>0</v>
      </c>
      <c r="K9" s="28">
        <v>0.45</v>
      </c>
      <c r="L9" s="28">
        <v>0.9</v>
      </c>
      <c r="M9" s="28">
        <f t="shared" ref="M9:M20" si="1">I9*J9*K9*L9</f>
        <v>0</v>
      </c>
      <c r="N9" s="28"/>
    </row>
    <row r="10" spans="1:15" x14ac:dyDescent="0.3">
      <c r="A10" s="22"/>
      <c r="B10" s="23" t="s">
        <v>81</v>
      </c>
      <c r="C10" s="28">
        <f>C5</f>
        <v>0</v>
      </c>
      <c r="D10" s="26">
        <v>12</v>
      </c>
      <c r="E10" s="39">
        <f t="shared" ref="E10:E13" si="2">C10*D10</f>
        <v>0</v>
      </c>
      <c r="F10" s="28"/>
      <c r="G10" s="57"/>
      <c r="H10" s="54"/>
      <c r="I10" s="28">
        <v>1</v>
      </c>
      <c r="J10" s="28">
        <v>0</v>
      </c>
      <c r="K10" s="28">
        <v>0.45</v>
      </c>
      <c r="L10" s="28">
        <v>0.9</v>
      </c>
      <c r="M10" s="28">
        <f t="shared" si="1"/>
        <v>0</v>
      </c>
      <c r="N10" s="28"/>
    </row>
    <row r="11" spans="1:15" x14ac:dyDescent="0.3">
      <c r="A11" s="22"/>
      <c r="B11" s="23" t="s">
        <v>78</v>
      </c>
      <c r="C11" s="28">
        <f>C6</f>
        <v>0</v>
      </c>
      <c r="D11" s="26">
        <v>15</v>
      </c>
      <c r="E11" s="39">
        <f t="shared" si="2"/>
        <v>0</v>
      </c>
      <c r="F11" s="28"/>
      <c r="G11" s="57"/>
      <c r="H11" s="54"/>
      <c r="I11" s="28">
        <v>1</v>
      </c>
      <c r="J11" s="28">
        <v>0</v>
      </c>
      <c r="K11" s="28">
        <v>0.45</v>
      </c>
      <c r="L11" s="28">
        <v>0.9</v>
      </c>
      <c r="M11" s="28">
        <f t="shared" si="1"/>
        <v>0</v>
      </c>
      <c r="N11" s="34">
        <f>SUM(J9:J11)</f>
        <v>0</v>
      </c>
      <c r="O11" s="1" t="s">
        <v>54</v>
      </c>
    </row>
    <row r="12" spans="1:15" x14ac:dyDescent="0.3">
      <c r="A12" s="22"/>
      <c r="B12" s="23" t="s">
        <v>79</v>
      </c>
      <c r="C12" s="28">
        <f>C7</f>
        <v>168</v>
      </c>
      <c r="D12" s="26">
        <v>17</v>
      </c>
      <c r="E12" s="39">
        <f t="shared" si="2"/>
        <v>2856</v>
      </c>
      <c r="F12" s="28"/>
      <c r="G12" s="57"/>
      <c r="H12" s="54" t="s">
        <v>85</v>
      </c>
      <c r="I12" s="28">
        <v>1</v>
      </c>
      <c r="J12" s="28">
        <v>0</v>
      </c>
      <c r="K12" s="28">
        <v>0.45</v>
      </c>
      <c r="L12" s="28">
        <v>0.9</v>
      </c>
      <c r="M12" s="28">
        <f t="shared" si="1"/>
        <v>0</v>
      </c>
      <c r="N12" s="35"/>
      <c r="O12" s="1"/>
    </row>
    <row r="13" spans="1:15" x14ac:dyDescent="0.3">
      <c r="A13" s="22"/>
      <c r="B13" s="24" t="s">
        <v>80</v>
      </c>
      <c r="C13" s="28">
        <f>C8</f>
        <v>96</v>
      </c>
      <c r="D13" s="26">
        <v>19</v>
      </c>
      <c r="E13" s="39">
        <f t="shared" si="2"/>
        <v>1824</v>
      </c>
      <c r="F13" s="28"/>
      <c r="G13" s="57"/>
      <c r="H13" s="54"/>
      <c r="I13" s="28">
        <v>1</v>
      </c>
      <c r="J13" s="28">
        <v>0</v>
      </c>
      <c r="K13" s="28">
        <v>0.45</v>
      </c>
      <c r="L13" s="28">
        <v>0.9</v>
      </c>
      <c r="M13" s="28">
        <f t="shared" si="1"/>
        <v>0</v>
      </c>
      <c r="N13" s="35"/>
      <c r="O13" s="1"/>
    </row>
    <row r="14" spans="1:15" x14ac:dyDescent="0.3">
      <c r="A14" s="22" t="s">
        <v>83</v>
      </c>
      <c r="B14" s="22">
        <v>5</v>
      </c>
      <c r="C14" s="28">
        <f>M31</f>
        <v>104.93991600000001</v>
      </c>
      <c r="D14" s="27">
        <v>22</v>
      </c>
      <c r="E14" s="39">
        <f t="shared" ref="E14:E15" si="3">C14*D14</f>
        <v>2308.6781520000004</v>
      </c>
      <c r="F14" s="28"/>
      <c r="G14" s="57"/>
      <c r="H14" s="54"/>
      <c r="I14" s="28">
        <v>1</v>
      </c>
      <c r="J14" s="28">
        <v>0</v>
      </c>
      <c r="K14" s="28">
        <v>0.45</v>
      </c>
      <c r="L14" s="28">
        <v>0.9</v>
      </c>
      <c r="M14" s="28">
        <f t="shared" si="1"/>
        <v>0</v>
      </c>
      <c r="N14" s="34">
        <f>SUM(J12:J14)</f>
        <v>0</v>
      </c>
      <c r="O14" s="1" t="s">
        <v>54</v>
      </c>
    </row>
    <row r="15" spans="1:15" x14ac:dyDescent="0.3">
      <c r="A15" s="22" t="s">
        <v>34</v>
      </c>
      <c r="B15" s="1">
        <v>6</v>
      </c>
      <c r="C15" s="28">
        <v>1</v>
      </c>
      <c r="D15" s="27">
        <v>306.14</v>
      </c>
      <c r="E15" s="39">
        <f t="shared" si="3"/>
        <v>306.14</v>
      </c>
      <c r="F15" s="28"/>
      <c r="G15" s="57"/>
      <c r="H15" s="54" t="s">
        <v>86</v>
      </c>
      <c r="I15" s="28">
        <v>1</v>
      </c>
      <c r="J15" s="28">
        <v>90</v>
      </c>
      <c r="K15" s="28">
        <v>0.45</v>
      </c>
      <c r="L15" s="28">
        <v>0.9</v>
      </c>
      <c r="M15" s="28">
        <f t="shared" si="1"/>
        <v>36.450000000000003</v>
      </c>
      <c r="N15" s="35"/>
      <c r="O15" s="1"/>
    </row>
    <row r="16" spans="1:15" x14ac:dyDescent="0.3">
      <c r="C16" s="1"/>
      <c r="D16" s="1" t="s">
        <v>19</v>
      </c>
      <c r="E16" s="39">
        <f>SUM(E2:E15)</f>
        <v>59266.698152000004</v>
      </c>
      <c r="F16" s="28"/>
      <c r="G16" s="57"/>
      <c r="H16" s="54"/>
      <c r="I16" s="28">
        <v>1</v>
      </c>
      <c r="J16" s="28">
        <v>38</v>
      </c>
      <c r="K16" s="28">
        <v>0.45</v>
      </c>
      <c r="L16" s="28">
        <v>0.9</v>
      </c>
      <c r="M16" s="28">
        <f t="shared" si="1"/>
        <v>15.390000000000002</v>
      </c>
      <c r="N16" s="35"/>
      <c r="O16" s="1"/>
    </row>
    <row r="17" spans="1:15" x14ac:dyDescent="0.3">
      <c r="C17" s="1" t="s">
        <v>18</v>
      </c>
      <c r="D17" s="46">
        <v>0.18</v>
      </c>
      <c r="E17" s="39">
        <f>E16*18%</f>
        <v>10668.005667360001</v>
      </c>
      <c r="F17" s="28"/>
      <c r="G17" s="57"/>
      <c r="H17" s="54"/>
      <c r="I17" s="28">
        <v>1</v>
      </c>
      <c r="J17" s="28">
        <v>40</v>
      </c>
      <c r="K17" s="28">
        <v>0.45</v>
      </c>
      <c r="L17" s="28">
        <v>0.9</v>
      </c>
      <c r="M17" s="28">
        <f t="shared" si="1"/>
        <v>16.2</v>
      </c>
      <c r="N17" s="34">
        <f>SUM(J15:J17)</f>
        <v>168</v>
      </c>
      <c r="O17" s="1" t="s">
        <v>54</v>
      </c>
    </row>
    <row r="18" spans="1:15" x14ac:dyDescent="0.3">
      <c r="C18" s="1" t="s">
        <v>93</v>
      </c>
      <c r="D18" s="1" t="s">
        <v>19</v>
      </c>
      <c r="E18" s="39">
        <f>E16+E17</f>
        <v>69934.703819360002</v>
      </c>
      <c r="F18" s="28"/>
      <c r="G18" s="57"/>
      <c r="H18" s="54" t="s">
        <v>87</v>
      </c>
      <c r="I18" s="28">
        <v>1</v>
      </c>
      <c r="J18" s="28">
        <v>30</v>
      </c>
      <c r="K18" s="28">
        <v>0.45</v>
      </c>
      <c r="L18" s="28">
        <v>0.9</v>
      </c>
      <c r="M18" s="28">
        <f t="shared" si="1"/>
        <v>12.15</v>
      </c>
      <c r="N18" s="35"/>
      <c r="O18" s="1"/>
    </row>
    <row r="19" spans="1:15" x14ac:dyDescent="0.3">
      <c r="C19" s="1" t="s">
        <v>92</v>
      </c>
      <c r="D19" s="1" t="s">
        <v>94</v>
      </c>
      <c r="F19" s="28"/>
      <c r="G19" s="57"/>
      <c r="H19" s="54"/>
      <c r="I19" s="28">
        <v>1</v>
      </c>
      <c r="J19" s="28">
        <v>36</v>
      </c>
      <c r="K19" s="28">
        <v>0.45</v>
      </c>
      <c r="L19" s="28">
        <v>0.9</v>
      </c>
      <c r="M19" s="28">
        <f t="shared" si="1"/>
        <v>14.58</v>
      </c>
      <c r="N19" s="35"/>
      <c r="O19" s="1"/>
    </row>
    <row r="20" spans="1:15" x14ac:dyDescent="0.3">
      <c r="C20" s="1" t="s">
        <v>21</v>
      </c>
      <c r="D20" s="1" t="s">
        <v>94</v>
      </c>
      <c r="F20" s="28"/>
      <c r="G20" s="57"/>
      <c r="H20" s="54"/>
      <c r="I20" s="28">
        <v>1</v>
      </c>
      <c r="J20" s="28">
        <v>30</v>
      </c>
      <c r="K20" s="28">
        <v>0.45</v>
      </c>
      <c r="L20" s="28">
        <v>0.9</v>
      </c>
      <c r="M20" s="28">
        <f t="shared" si="1"/>
        <v>12.15</v>
      </c>
      <c r="N20" s="34">
        <f>SUM(J18:J20)</f>
        <v>96</v>
      </c>
      <c r="O20" s="1" t="s">
        <v>54</v>
      </c>
    </row>
    <row r="21" spans="1:15" x14ac:dyDescent="0.3">
      <c r="A21" s="41"/>
      <c r="B21" s="41"/>
      <c r="C21" s="41"/>
      <c r="D21" s="41"/>
      <c r="E21" s="41"/>
      <c r="F21" s="41"/>
      <c r="G21" s="44"/>
      <c r="I21" s="28"/>
      <c r="J21" s="28"/>
      <c r="K21" s="28"/>
      <c r="L21" s="1" t="s">
        <v>45</v>
      </c>
      <c r="M21" s="34">
        <f>SUM(M9:M20)</f>
        <v>106.92000000000002</v>
      </c>
      <c r="N21" s="1" t="s">
        <v>53</v>
      </c>
    </row>
    <row r="22" spans="1:15" x14ac:dyDescent="0.3">
      <c r="A22" s="41"/>
      <c r="B22" s="41"/>
      <c r="C22" s="41"/>
      <c r="D22" s="41"/>
      <c r="E22" s="41"/>
      <c r="F22" s="41"/>
      <c r="G22" s="44"/>
    </row>
    <row r="23" spans="1:15" x14ac:dyDescent="0.3">
      <c r="A23" s="42"/>
      <c r="B23" s="41"/>
      <c r="C23" s="41"/>
      <c r="D23" s="41"/>
      <c r="E23" s="41"/>
      <c r="F23" s="41"/>
      <c r="G23" s="44"/>
      <c r="K23" s="28"/>
    </row>
    <row r="24" spans="1:15" x14ac:dyDescent="0.3">
      <c r="A24" s="56"/>
      <c r="B24" s="41"/>
      <c r="C24" s="41"/>
      <c r="D24" s="41"/>
      <c r="E24" s="41"/>
      <c r="F24" s="41"/>
      <c r="G24" s="44"/>
      <c r="H24" s="33">
        <v>5</v>
      </c>
      <c r="I24" s="1" t="s">
        <v>67</v>
      </c>
      <c r="J24" s="38" t="s">
        <v>72</v>
      </c>
      <c r="K24" s="1">
        <v>3.14</v>
      </c>
      <c r="L24" s="1" t="s">
        <v>73</v>
      </c>
    </row>
    <row r="25" spans="1:15" x14ac:dyDescent="0.3">
      <c r="A25" s="56"/>
      <c r="B25" s="41"/>
      <c r="C25" s="41"/>
      <c r="D25" s="41"/>
      <c r="E25" s="41"/>
      <c r="F25" s="41"/>
      <c r="G25" s="44"/>
      <c r="H25" s="37"/>
      <c r="I25" s="1"/>
      <c r="J25" s="38"/>
      <c r="L25" s="1" t="s">
        <v>74</v>
      </c>
      <c r="M25" s="28">
        <f>M21</f>
        <v>106.92000000000002</v>
      </c>
      <c r="N25" s="1" t="s">
        <v>53</v>
      </c>
    </row>
    <row r="26" spans="1:15" x14ac:dyDescent="0.3">
      <c r="A26" s="56"/>
      <c r="B26" s="41"/>
      <c r="C26" s="41"/>
      <c r="D26" s="41"/>
      <c r="E26" s="41"/>
      <c r="F26" s="41"/>
      <c r="G26" s="44"/>
      <c r="H26" s="23" t="s">
        <v>88</v>
      </c>
      <c r="I26" s="1">
        <v>0.78500000000000003</v>
      </c>
      <c r="J26" s="1">
        <v>6.5000000000000002E-2</v>
      </c>
      <c r="K26" s="1">
        <f>J26</f>
        <v>6.5000000000000002E-2</v>
      </c>
      <c r="L26" s="28">
        <f>N11</f>
        <v>0</v>
      </c>
      <c r="M26" s="39">
        <f>I26*J26*K26*L26</f>
        <v>0</v>
      </c>
    </row>
    <row r="27" spans="1:15" x14ac:dyDescent="0.3">
      <c r="A27" s="41"/>
      <c r="B27" s="41"/>
      <c r="C27" s="41"/>
      <c r="D27" s="41"/>
      <c r="E27" s="41"/>
      <c r="F27" s="41"/>
      <c r="H27" s="23" t="s">
        <v>89</v>
      </c>
      <c r="I27" s="1">
        <v>0.78500000000000003</v>
      </c>
      <c r="J27" s="1">
        <v>7.4999999999999997E-2</v>
      </c>
      <c r="K27" s="1">
        <f>J27</f>
        <v>7.4999999999999997E-2</v>
      </c>
      <c r="L27" s="28">
        <f>N14</f>
        <v>0</v>
      </c>
      <c r="M27" s="39">
        <f>I27*J27*K27*L27</f>
        <v>0</v>
      </c>
    </row>
    <row r="28" spans="1:15" x14ac:dyDescent="0.3">
      <c r="A28" s="41"/>
      <c r="B28" s="41"/>
      <c r="C28" s="41"/>
      <c r="D28" s="41"/>
      <c r="E28" s="41"/>
      <c r="F28" s="41"/>
      <c r="H28" s="23" t="s">
        <v>90</v>
      </c>
      <c r="I28" s="1">
        <v>0.78500000000000003</v>
      </c>
      <c r="J28" s="1">
        <v>0.09</v>
      </c>
      <c r="K28" s="1">
        <f>J28</f>
        <v>0.09</v>
      </c>
      <c r="L28" s="28">
        <f>N17</f>
        <v>168</v>
      </c>
      <c r="M28" s="39">
        <f>I28*J28*K28*L28</f>
        <v>1.0682280000000002</v>
      </c>
    </row>
    <row r="29" spans="1:15" x14ac:dyDescent="0.3">
      <c r="A29" s="41"/>
      <c r="B29" s="41"/>
      <c r="C29" s="41"/>
      <c r="D29" s="41"/>
      <c r="E29" s="41"/>
      <c r="F29" s="41"/>
      <c r="H29" s="24" t="s">
        <v>91</v>
      </c>
      <c r="I29" s="1">
        <v>0.78500000000000003</v>
      </c>
      <c r="J29" s="1">
        <v>0.11</v>
      </c>
      <c r="K29" s="1">
        <f>J29</f>
        <v>0.11</v>
      </c>
      <c r="L29" s="28">
        <f>N20</f>
        <v>96</v>
      </c>
      <c r="M29" s="39">
        <f>I29*J29*K29*L29</f>
        <v>0.91185600000000022</v>
      </c>
    </row>
    <row r="30" spans="1:15" x14ac:dyDescent="0.3">
      <c r="A30" s="41"/>
      <c r="B30" s="41"/>
      <c r="C30" s="41"/>
      <c r="D30" s="41"/>
      <c r="E30" s="41"/>
      <c r="F30" s="41"/>
      <c r="L30" s="1" t="s">
        <v>45</v>
      </c>
      <c r="M30" s="39">
        <f>SUM(M26:M29)</f>
        <v>1.9800840000000004</v>
      </c>
      <c r="N30" s="1" t="s">
        <v>53</v>
      </c>
    </row>
    <row r="31" spans="1:15" x14ac:dyDescent="0.3">
      <c r="L31" s="1" t="s">
        <v>75</v>
      </c>
      <c r="M31" s="45">
        <f>M25-M30</f>
        <v>104.93991600000001</v>
      </c>
      <c r="N31" s="1" t="s">
        <v>53</v>
      </c>
    </row>
  </sheetData>
  <mergeCells count="7">
    <mergeCell ref="A24:A26"/>
    <mergeCell ref="G9:G20"/>
    <mergeCell ref="H3:H5"/>
    <mergeCell ref="H9:H11"/>
    <mergeCell ref="H12:H14"/>
    <mergeCell ref="H15:H17"/>
    <mergeCell ref="H18:H20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mb-paver</vt:lpstr>
      <vt:lpstr>mb-cc road</vt:lpstr>
      <vt:lpstr>mb-gutter line</vt:lpstr>
      <vt:lpstr>mb-pipe line</vt:lpstr>
      <vt:lpstr>'mb-cc road'!Print_Area</vt:lpstr>
      <vt:lpstr>'mb-gutter line'!Print_Area</vt:lpstr>
      <vt:lpstr>'mb-paver'!Print_Area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2024-08-28T10:57:51Z</cp:lastPrinted>
  <dcterms:created xsi:type="dcterms:W3CDTF">2024-03-13T06:43:26Z</dcterms:created>
  <dcterms:modified xsi:type="dcterms:W3CDTF">2026-09-30T02:02:31Z</dcterms:modified>
</cp:coreProperties>
</file>