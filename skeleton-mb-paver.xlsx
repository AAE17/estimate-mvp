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2" borderId="1" pivotButton="0" quotePrefix="0" xfId="0"/>
    <xf numFmtId="2" fontId="0" fillId="2" borderId="1" pivotButton="0" quotePrefix="0" xfId="0"/>
    <xf numFmtId="0" fontId="0" fillId="7" borderId="1" pivotButton="0" quotePrefix="0" xfId="0"/>
    <xf numFmtId="2" fontId="0" fillId="7" borderId="1" pivotButton="0" quotePrefix="0" xfId="0"/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tabSelected="1" workbookViewId="0">
      <selection activeCell="E24" sqref="E24"/>
    </sheetView>
  </sheetViews>
  <sheetFormatPr baseColWidth="8" defaultRowHeight="14.4"/>
  <sheetData>
    <row r="1" ht="18" customHeight="1" s="20">
      <c r="A1" s="21" t="inlineStr">
        <is>
          <t xml:space="preserve">KOT LINDORA TABE ZALAPURA DILIPBHAI NA FALIYAMA PEVAR BLOKNU KAM 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19" t="n"/>
    </row>
    <row r="2" ht="15.6" customHeight="1" s="20">
      <c r="A2" s="14" t="inlineStr">
        <is>
          <t>KOT LINDORA</t>
        </is>
      </c>
      <c r="B2" s="19" t="n"/>
      <c r="C2" s="18" t="n"/>
      <c r="D2" s="14" t="inlineStr">
        <is>
          <t>XV FC GK 25-26 1st</t>
        </is>
      </c>
      <c r="E2" s="19" t="n"/>
      <c r="F2" s="8" t="n"/>
      <c r="G2" s="18" t="n"/>
      <c r="H2" s="17" t="n"/>
      <c r="I2" s="19" t="n"/>
      <c r="J2" s="18" t="inlineStr">
        <is>
          <t>GANPATSINH</t>
        </is>
      </c>
      <c r="K2" s="22" t="n"/>
      <c r="L2" s="19" t="n"/>
      <c r="M2" s="1" t="n"/>
      <c r="N2" s="1" t="n"/>
      <c r="O2" s="1" t="n"/>
    </row>
    <row r="3">
      <c r="A3" s="1" t="inlineStr">
        <is>
          <t>EXCAVATION</t>
        </is>
      </c>
      <c r="B3" s="1" t="n">
        <v>1</v>
      </c>
      <c r="C3" s="2">
        <f>J16</f>
        <v/>
      </c>
      <c r="D3" s="1" t="n">
        <v>156.56</v>
      </c>
      <c r="E3" s="1">
        <f>C3*D3</f>
        <v/>
      </c>
      <c r="F3" s="1" t="n"/>
      <c r="G3" s="6" t="n">
        <v>1</v>
      </c>
      <c r="H3" s="13">
        <f>A3</f>
        <v/>
      </c>
      <c r="I3" s="22" t="n"/>
      <c r="J3" s="19" t="n"/>
      <c r="K3" s="6" t="n">
        <v>3</v>
      </c>
      <c r="L3" s="7" t="n">
        <v>2</v>
      </c>
      <c r="M3" s="1" t="n"/>
      <c r="N3" s="1" t="n"/>
      <c r="O3" s="1" t="n"/>
    </row>
    <row r="4">
      <c r="A4" s="1" t="inlineStr">
        <is>
          <t>COLLECTING, CARTING</t>
        </is>
      </c>
      <c r="B4" s="1" t="n">
        <v>2</v>
      </c>
      <c r="C4" s="2">
        <f>L17</f>
        <v/>
      </c>
      <c r="D4" s="1" t="n">
        <v>210.42</v>
      </c>
      <c r="E4" s="1">
        <f>C4*D4</f>
        <v/>
      </c>
      <c r="F4" s="1" t="n"/>
      <c r="G4" s="1" t="n">
        <v>7.8</v>
      </c>
      <c r="H4" s="1" t="n">
        <v>10.2</v>
      </c>
      <c r="I4" s="1" t="n">
        <v>0.2</v>
      </c>
      <c r="J4" s="2">
        <f>G4*H4*I4</f>
        <v/>
      </c>
      <c r="K4" s="1">
        <f>G4*H4</f>
        <v/>
      </c>
      <c r="L4" s="2">
        <f>G4*H4*0.12</f>
        <v/>
      </c>
      <c r="M4" s="1" t="n"/>
      <c r="N4" s="1" t="n"/>
      <c r="O4" s="1" t="n"/>
    </row>
    <row r="5">
      <c r="A5" s="1" t="inlineStr">
        <is>
          <t>BLOCK</t>
        </is>
      </c>
      <c r="B5" s="1" t="n">
        <v>3</v>
      </c>
      <c r="C5" s="1">
        <f>K16</f>
        <v/>
      </c>
      <c r="D5" s="1" t="n">
        <v>740.51</v>
      </c>
      <c r="E5" s="1">
        <f>C5*D5</f>
        <v/>
      </c>
      <c r="F5" s="3" t="n"/>
      <c r="G5" s="1" t="n">
        <v>0</v>
      </c>
      <c r="H5" s="1" t="n">
        <v>0</v>
      </c>
      <c r="I5" s="1">
        <f>I4</f>
        <v/>
      </c>
      <c r="J5" s="2">
        <f>G5*H5*I5</f>
        <v/>
      </c>
      <c r="K5" s="2">
        <f>G5*H5</f>
        <v/>
      </c>
      <c r="L5" s="2">
        <f>G5*H5*0.12</f>
        <v/>
      </c>
      <c r="M5" s="1" t="n"/>
      <c r="N5" s="1" t="n"/>
      <c r="O5" s="1" t="n"/>
    </row>
    <row r="6">
      <c r="A6" s="1" t="inlineStr">
        <is>
          <t>VATA</t>
        </is>
      </c>
      <c r="B6" s="1" t="n">
        <v>4</v>
      </c>
      <c r="C6" s="2">
        <f>J30</f>
        <v/>
      </c>
      <c r="D6" s="1" t="n">
        <v>23.68</v>
      </c>
      <c r="E6" s="1">
        <f>C6*D6</f>
        <v/>
      </c>
      <c r="F6" s="1" t="n"/>
      <c r="G6" s="1" t="n">
        <v>0</v>
      </c>
      <c r="H6" s="1" t="n">
        <v>0</v>
      </c>
      <c r="I6" s="1">
        <f>I5</f>
        <v/>
      </c>
      <c r="J6" s="2">
        <f>G6*H6*I6</f>
        <v/>
      </c>
      <c r="K6" s="2">
        <f>G6*H6</f>
        <v/>
      </c>
      <c r="L6" s="2">
        <f>G6*H6*0.12</f>
        <v/>
      </c>
      <c r="M6" s="1" t="n"/>
      <c r="N6" s="1" t="n"/>
      <c r="O6" s="1" t="n"/>
    </row>
    <row r="7">
      <c r="A7" s="1" t="inlineStr">
        <is>
          <t>Test</t>
        </is>
      </c>
      <c r="B7" s="1" t="n">
        <v>5</v>
      </c>
      <c r="C7" s="1" t="n">
        <v>1</v>
      </c>
      <c r="D7" s="1" t="n">
        <v>608</v>
      </c>
      <c r="E7" s="1">
        <f>C7*D7</f>
        <v/>
      </c>
      <c r="F7" s="1" t="n"/>
      <c r="G7" s="1" t="n">
        <v>0</v>
      </c>
      <c r="H7" s="1" t="n">
        <v>0</v>
      </c>
      <c r="I7" s="1">
        <f>I6</f>
        <v/>
      </c>
      <c r="J7" s="2">
        <f>G7*H7*I7</f>
        <v/>
      </c>
      <c r="K7" s="1">
        <f>G7*H7</f>
        <v/>
      </c>
      <c r="L7" s="2">
        <f>G7*H7*0.12</f>
        <v/>
      </c>
      <c r="M7" s="1" t="n"/>
      <c r="N7" s="1" t="n"/>
      <c r="O7" s="1" t="n"/>
    </row>
    <row r="8">
      <c r="A8" s="1" t="inlineStr">
        <is>
          <t>NAME PLATE</t>
        </is>
      </c>
      <c r="B8" s="1" t="n">
        <v>6</v>
      </c>
      <c r="C8" s="1" t="n">
        <v>0</v>
      </c>
      <c r="D8" s="1" t="n">
        <v>306.14</v>
      </c>
      <c r="E8" s="1">
        <f>C8*D8</f>
        <v/>
      </c>
      <c r="F8" s="1" t="n"/>
      <c r="G8" s="1" t="n">
        <v>0</v>
      </c>
      <c r="H8" s="1" t="n">
        <v>0</v>
      </c>
      <c r="I8" s="1">
        <f>I7</f>
        <v/>
      </c>
      <c r="J8" s="1">
        <f>G8*H8*I8</f>
        <v/>
      </c>
      <c r="K8" s="1">
        <f>G8*H8</f>
        <v/>
      </c>
      <c r="L8" s="2">
        <f>G8*H8*0.12</f>
        <v/>
      </c>
      <c r="M8" s="1" t="n"/>
      <c r="N8" s="1" t="n"/>
      <c r="O8" s="1" t="n"/>
    </row>
    <row r="9">
      <c r="A9" s="1" t="n"/>
      <c r="B9" s="1" t="n"/>
      <c r="C9" s="1" t="n"/>
      <c r="D9" s="1" t="n"/>
      <c r="E9" s="1">
        <f>SUM(E3:E8)</f>
        <v/>
      </c>
      <c r="F9" s="1" t="n"/>
      <c r="G9" s="1" t="n">
        <v>0</v>
      </c>
      <c r="H9" s="1" t="n">
        <v>0</v>
      </c>
      <c r="I9" s="1">
        <f>I8</f>
        <v/>
      </c>
      <c r="J9" s="1">
        <f>G9*H9*I9</f>
        <v/>
      </c>
      <c r="K9" s="1">
        <f>G9*H9</f>
        <v/>
      </c>
      <c r="L9" s="2">
        <f>G9*H9*0.12</f>
        <v/>
      </c>
      <c r="M9" s="1" t="n"/>
      <c r="N9" s="1" t="n"/>
      <c r="O9" s="1" t="n"/>
    </row>
    <row r="10">
      <c r="A10" s="1" t="n"/>
      <c r="B10" s="1" t="n"/>
      <c r="C10" s="1" t="n"/>
      <c r="D10" s="1" t="inlineStr">
        <is>
          <t>18% GST</t>
        </is>
      </c>
      <c r="E10" s="1">
        <f>E9*18%</f>
        <v/>
      </c>
      <c r="F10" s="1" t="n"/>
      <c r="G10" s="1" t="n">
        <v>0</v>
      </c>
      <c r="H10" s="1" t="n">
        <v>0</v>
      </c>
      <c r="I10" s="1">
        <f>I9</f>
        <v/>
      </c>
      <c r="J10" s="1">
        <f>G10*H10*I10</f>
        <v/>
      </c>
      <c r="K10" s="1">
        <f>G10*H10</f>
        <v/>
      </c>
      <c r="L10" s="2">
        <f>G10*H10*0.12</f>
        <v/>
      </c>
      <c r="M10" s="1" t="n"/>
      <c r="N10" s="1" t="n"/>
      <c r="O10" s="1" t="n"/>
    </row>
    <row r="11">
      <c r="A11" s="1" t="n"/>
      <c r="B11" s="1" t="n"/>
      <c r="C11" s="1" t="n"/>
      <c r="D11" s="1" t="inlineStr">
        <is>
          <t>Total</t>
        </is>
      </c>
      <c r="E11" s="1">
        <f>E9+E10</f>
        <v/>
      </c>
      <c r="F11" s="1" t="n"/>
      <c r="G11" s="1" t="n">
        <v>0</v>
      </c>
      <c r="H11" s="1" t="n">
        <v>0</v>
      </c>
      <c r="I11" s="1">
        <f>I10</f>
        <v/>
      </c>
      <c r="J11" s="1">
        <f>G11*H11*I11</f>
        <v/>
      </c>
      <c r="K11" s="1">
        <f>G11*H11</f>
        <v/>
      </c>
      <c r="L11" s="2">
        <f>G11*H11*0.12</f>
        <v/>
      </c>
      <c r="M11" s="1" t="n"/>
      <c r="N11" s="1" t="n"/>
      <c r="O11" s="1" t="n"/>
    </row>
    <row r="12">
      <c r="A12" s="1" t="n"/>
      <c r="B12" s="1" t="n"/>
      <c r="C12" s="1" t="n"/>
      <c r="D12" s="1" t="inlineStr">
        <is>
          <t>Est</t>
        </is>
      </c>
      <c r="E12" s="1" t="n">
        <v>76500</v>
      </c>
      <c r="F12" s="1" t="n"/>
      <c r="G12" s="1" t="n">
        <v>0</v>
      </c>
      <c r="H12" s="1" t="n">
        <v>0</v>
      </c>
      <c r="I12" s="1">
        <f>I11</f>
        <v/>
      </c>
      <c r="J12" s="1">
        <f>G12*H12*I12</f>
        <v/>
      </c>
      <c r="K12" s="1">
        <f>G12*H12</f>
        <v/>
      </c>
      <c r="L12" s="2">
        <f>G12*H12*0.12</f>
        <v/>
      </c>
      <c r="M12" s="1" t="n"/>
      <c r="N12" s="1" t="n"/>
      <c r="O12" s="1" t="n"/>
    </row>
    <row r="13">
      <c r="A13" s="1" t="n"/>
      <c r="B13" s="1" t="n"/>
      <c r="C13" s="1" t="n"/>
      <c r="D13" s="1" t="inlineStr">
        <is>
          <t>Net</t>
        </is>
      </c>
      <c r="E13" s="4">
        <f>E12-E11</f>
        <v/>
      </c>
      <c r="F13" s="1" t="n"/>
      <c r="G13" s="1" t="n">
        <v>0</v>
      </c>
      <c r="H13" s="1" t="n">
        <v>0</v>
      </c>
      <c r="I13" s="1" t="n">
        <v>0.3</v>
      </c>
      <c r="J13" s="1">
        <f>G13*H13*I13</f>
        <v/>
      </c>
      <c r="K13" s="1">
        <f>G13*H13</f>
        <v/>
      </c>
      <c r="L13" s="2">
        <f>G13*H13*0.15</f>
        <v/>
      </c>
      <c r="M13" s="1" t="n"/>
      <c r="N13" s="1" t="n"/>
      <c r="O13" s="1" t="n"/>
    </row>
    <row r="14">
      <c r="A14" s="1" t="n"/>
      <c r="B14" s="1" t="n"/>
      <c r="C14" s="1" t="n"/>
      <c r="D14" s="1" t="n"/>
      <c r="E14" s="1" t="n"/>
      <c r="F14" s="1" t="n"/>
      <c r="G14" s="1" t="n">
        <v>0</v>
      </c>
      <c r="H14" s="1" t="n">
        <v>0</v>
      </c>
      <c r="I14" s="1" t="n">
        <v>0.3</v>
      </c>
      <c r="J14" s="1">
        <f>G14*H14*I14</f>
        <v/>
      </c>
      <c r="K14" s="1">
        <f>G14*H14</f>
        <v/>
      </c>
      <c r="L14" s="2">
        <f>G14*H14*0.15</f>
        <v/>
      </c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>
        <v>0</v>
      </c>
      <c r="H15" s="1" t="n">
        <v>0</v>
      </c>
      <c r="I15" s="1" t="n">
        <v>0.3</v>
      </c>
      <c r="J15" s="1">
        <f>G15*H15*I15</f>
        <v/>
      </c>
      <c r="K15" s="1">
        <f>G15*H15</f>
        <v/>
      </c>
      <c r="L15" s="2">
        <f>G15*H15*0.15</f>
        <v/>
      </c>
      <c r="M15" s="1" t="n"/>
      <c r="N15" s="1" t="n"/>
      <c r="O15" s="1" t="n"/>
    </row>
    <row r="16">
      <c r="A16" s="1" t="n"/>
      <c r="B16" s="1" t="n"/>
      <c r="C16" s="1" t="n"/>
      <c r="D16" s="1" t="n"/>
      <c r="E16" s="1" t="n"/>
      <c r="F16" s="1" t="n"/>
      <c r="G16" s="1">
        <f>SUM(G4:G15)</f>
        <v/>
      </c>
      <c r="H16" s="1">
        <f>SUM(H4:H15)</f>
        <v/>
      </c>
      <c r="I16" s="1" t="n"/>
      <c r="J16" s="5">
        <f>SUM(J4:J15)</f>
        <v/>
      </c>
      <c r="K16" s="5">
        <f>SUM(K4:K15)</f>
        <v/>
      </c>
      <c r="L16" s="5">
        <f>SUM(L4:L15)</f>
        <v/>
      </c>
      <c r="M16" s="1" t="n"/>
      <c r="N16" s="1" t="n"/>
      <c r="O16" s="1" t="n"/>
    </row>
    <row r="17">
      <c r="A17" s="1" t="n"/>
      <c r="B17" s="1" t="n"/>
      <c r="C17" s="1" t="n"/>
      <c r="D17" s="1" t="n"/>
      <c r="E17" s="19" t="n"/>
      <c r="F17" s="1" t="n"/>
      <c r="G17" s="1">
        <f>L16/1.5</f>
        <v/>
      </c>
      <c r="H17" s="1" t="n">
        <v>6</v>
      </c>
      <c r="I17" s="1" t="n">
        <v>2</v>
      </c>
      <c r="J17" s="1" t="n">
        <v>1.5</v>
      </c>
      <c r="K17" s="1" t="n">
        <v>0.5</v>
      </c>
      <c r="L17" s="1">
        <f>H17*I17*J17*K17</f>
        <v/>
      </c>
      <c r="M17" s="1" t="n"/>
      <c r="N17" s="1" t="n"/>
      <c r="O17" s="1" t="n"/>
    </row>
    <row r="18">
      <c r="A18" s="1" t="n"/>
      <c r="B18" s="1" t="n"/>
      <c r="C18" s="1" t="n"/>
      <c r="D18" s="1" t="n"/>
      <c r="E18" s="19" t="n"/>
      <c r="F18" s="1" t="n"/>
      <c r="G18" s="6" t="n"/>
      <c r="H18" s="13" t="n"/>
      <c r="I18" s="22" t="n"/>
      <c r="J18" s="19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9" t="n"/>
      <c r="F19" s="1" t="n"/>
      <c r="G19" s="1" t="n"/>
      <c r="H19" s="1" t="n"/>
      <c r="I19" s="1" t="n"/>
      <c r="J19" s="4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9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9" t="n"/>
      <c r="F21" s="1" t="n"/>
      <c r="G21" s="6" t="n">
        <v>4</v>
      </c>
      <c r="H21" s="13">
        <f>A6</f>
        <v/>
      </c>
      <c r="I21" s="22" t="n"/>
      <c r="J21" s="19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9" t="n"/>
      <c r="F22" s="1" t="n"/>
      <c r="G22" s="1" t="n">
        <v>2</v>
      </c>
      <c r="H22" s="1">
        <f>G4</f>
        <v/>
      </c>
      <c r="I22" s="1" t="n">
        <v>0</v>
      </c>
      <c r="J22" s="2">
        <f>G22*H22</f>
        <v/>
      </c>
      <c r="K22" s="1" t="n"/>
      <c r="L22" s="1" t="n">
        <v>2</v>
      </c>
      <c r="M22" s="1">
        <f>H4</f>
        <v/>
      </c>
      <c r="N22" s="1" t="n">
        <v>0</v>
      </c>
      <c r="O22" s="2">
        <f>L22*M22</f>
        <v/>
      </c>
    </row>
    <row r="23">
      <c r="A23" s="1" t="n"/>
      <c r="B23" s="1" t="n"/>
      <c r="C23" s="1" t="n"/>
      <c r="D23" s="1" t="n"/>
      <c r="E23" s="19" t="n"/>
      <c r="F23" s="1" t="n"/>
      <c r="G23" s="1" t="n">
        <v>2</v>
      </c>
      <c r="H23" s="1">
        <f>G5</f>
        <v/>
      </c>
      <c r="I23" s="1" t="n">
        <v>0</v>
      </c>
      <c r="J23" s="2">
        <f>G23*H23</f>
        <v/>
      </c>
      <c r="K23" s="1" t="n"/>
      <c r="L23" s="1" t="n">
        <v>2</v>
      </c>
      <c r="M23" s="1">
        <f>H5</f>
        <v/>
      </c>
      <c r="N23" s="1" t="n">
        <v>0</v>
      </c>
      <c r="O23" s="2">
        <f>L23*M23</f>
        <v/>
      </c>
    </row>
    <row r="24">
      <c r="A24" s="1" t="n"/>
      <c r="B24" s="1" t="n"/>
      <c r="C24" s="1" t="n"/>
      <c r="D24" s="1" t="n"/>
      <c r="E24" s="19" t="n"/>
      <c r="F24" s="1" t="n"/>
      <c r="G24" s="1" t="n">
        <v>2</v>
      </c>
      <c r="H24" s="1">
        <f>G6</f>
        <v/>
      </c>
      <c r="I24" s="1" t="n">
        <v>0</v>
      </c>
      <c r="J24" s="2">
        <f>G24*H24</f>
        <v/>
      </c>
      <c r="K24" s="1" t="n"/>
      <c r="L24" s="1" t="n">
        <v>2</v>
      </c>
      <c r="M24" s="1">
        <f>H6</f>
        <v/>
      </c>
      <c r="N24" s="1" t="n">
        <v>0</v>
      </c>
      <c r="O24" s="2">
        <f>L24*M24</f>
        <v/>
      </c>
    </row>
    <row r="25">
      <c r="A25" s="1" t="n"/>
      <c r="B25" s="1" t="n"/>
      <c r="C25" s="1" t="n"/>
      <c r="D25" s="1" t="n"/>
      <c r="E25" s="19" t="n"/>
      <c r="F25" s="1" t="n"/>
      <c r="G25" s="1" t="n">
        <v>2</v>
      </c>
      <c r="H25" s="1">
        <f>G7</f>
        <v/>
      </c>
      <c r="I25" s="1" t="n">
        <v>0</v>
      </c>
      <c r="J25" s="2">
        <f>G25*H25</f>
        <v/>
      </c>
      <c r="K25" s="1" t="n"/>
      <c r="L25" s="1" t="n">
        <v>2</v>
      </c>
      <c r="M25" s="1">
        <f>H7</f>
        <v/>
      </c>
      <c r="N25" s="1">
        <f>M9</f>
        <v/>
      </c>
      <c r="O25" s="2">
        <f>L25*M25</f>
        <v/>
      </c>
    </row>
    <row r="26">
      <c r="A26" s="1" t="n"/>
      <c r="B26" s="1" t="n"/>
      <c r="C26" s="1" t="n"/>
      <c r="D26" s="1" t="n"/>
      <c r="E26" s="19" t="n"/>
      <c r="F26" s="1" t="n"/>
      <c r="G26" s="1" t="n">
        <v>2</v>
      </c>
      <c r="H26" s="1">
        <f>G8</f>
        <v/>
      </c>
      <c r="I26" s="1" t="n">
        <v>0</v>
      </c>
      <c r="J26" s="2">
        <f>G26*H26</f>
        <v/>
      </c>
      <c r="K26" s="1" t="n"/>
      <c r="L26" s="1" t="n">
        <v>2</v>
      </c>
      <c r="M26" s="1">
        <f>H8</f>
        <v/>
      </c>
      <c r="N26" s="1">
        <f>M10</f>
        <v/>
      </c>
      <c r="O26" s="2">
        <f>L26*M26</f>
        <v/>
      </c>
    </row>
    <row r="27">
      <c r="A27" s="1" t="n"/>
      <c r="B27" s="1" t="n"/>
      <c r="C27" s="1" t="n"/>
      <c r="D27" s="1" t="n"/>
      <c r="E27" s="1" t="n"/>
      <c r="F27" s="1" t="n"/>
      <c r="G27" s="1" t="n">
        <v>2</v>
      </c>
      <c r="H27" s="1">
        <f>G9</f>
        <v/>
      </c>
      <c r="I27" s="1" t="n">
        <v>0</v>
      </c>
      <c r="J27" s="2">
        <f>G27*H27</f>
        <v/>
      </c>
      <c r="K27" s="1" t="n"/>
      <c r="L27" s="1" t="n">
        <v>2</v>
      </c>
      <c r="M27" s="1">
        <f>H9</f>
        <v/>
      </c>
      <c r="N27" s="1">
        <f>M11</f>
        <v/>
      </c>
      <c r="O27" s="2">
        <f>L27*M27</f>
        <v/>
      </c>
    </row>
    <row r="28">
      <c r="A28" s="1" t="n"/>
      <c r="B28" s="1" t="n"/>
      <c r="C28" s="1" t="n"/>
      <c r="D28" s="1" t="n"/>
      <c r="E28" s="1" t="n"/>
      <c r="F28" s="1" t="n"/>
      <c r="G28" s="1" t="n">
        <v>2</v>
      </c>
      <c r="H28" s="1">
        <f>G10</f>
        <v/>
      </c>
      <c r="I28" s="1" t="n">
        <v>0</v>
      </c>
      <c r="J28" s="2">
        <f>G28*H28</f>
        <v/>
      </c>
      <c r="K28" s="1" t="n"/>
      <c r="L28" s="1" t="n">
        <v>2</v>
      </c>
      <c r="M28" s="1">
        <f>H10</f>
        <v/>
      </c>
      <c r="N28" s="1">
        <f>M12</f>
        <v/>
      </c>
      <c r="O28" s="2">
        <f>L28*M28</f>
        <v/>
      </c>
    </row>
    <row r="29">
      <c r="A29" s="1" t="n"/>
      <c r="B29" s="1" t="n"/>
      <c r="C29" s="1" t="n"/>
      <c r="D29" s="1" t="n"/>
      <c r="E29" s="1" t="n"/>
      <c r="F29" s="1" t="n"/>
      <c r="G29" s="1" t="n">
        <v>2</v>
      </c>
      <c r="H29" s="1">
        <f>G11</f>
        <v/>
      </c>
      <c r="I29" s="1" t="n">
        <v>0</v>
      </c>
      <c r="J29" s="2">
        <f>G29*H29</f>
        <v/>
      </c>
      <c r="K29" s="1" t="n"/>
      <c r="L29" s="1" t="n">
        <v>2</v>
      </c>
      <c r="M29" s="1">
        <f>H11</f>
        <v/>
      </c>
      <c r="N29" s="1">
        <f>M13</f>
        <v/>
      </c>
      <c r="O29" s="2">
        <f>L29*M29</f>
        <v/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5">
        <f>SUM(J22:J29)+O30</f>
        <v/>
      </c>
      <c r="K30" s="1" t="n"/>
      <c r="L30" s="1" t="n"/>
      <c r="M30" s="1" t="n"/>
      <c r="N30" s="1" t="n"/>
      <c r="O30" s="5">
        <f>SUM(O22:O29)</f>
        <v/>
      </c>
    </row>
    <row r="31"/>
  </sheetData>
  <mergeCells count="8">
    <mergeCell ref="J2:L2"/>
    <mergeCell ref="A2:B2"/>
    <mergeCell ref="H2:I2"/>
    <mergeCell ref="H18:J18"/>
    <mergeCell ref="D2:E2"/>
    <mergeCell ref="A1:O1"/>
    <mergeCell ref="H3:J3"/>
    <mergeCell ref="H21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2024-03-13T06:43:26Z</dcterms:created>
  <dcterms:modified xmlns:dcterms="http://purl.org/dc/terms/" xmlns:xsi="http://www.w3.org/2001/XMLSchema-instance" xsi:type="dcterms:W3CDTF">2026-09-19T16:40:47Z</dcterms:modified>
  <cp:lastModifiedBy>Admin</cp:lastModifiedBy>
  <cp:lastPrinted>2024-08-28T10:57:51Z</cp:lastPrinted>
</cp:coreProperties>
</file>