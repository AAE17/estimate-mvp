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rok-mvp\2.pevar block\"/>
    </mc:Choice>
  </mc:AlternateContent>
  <bookViews>
    <workbookView xWindow="0" yWindow="0" windowWidth="23040" windowHeight="9372" activeTab="1"/>
  </bookViews>
  <sheets>
    <sheet name="mb-paver" sheetId="1" r:id="rId1"/>
    <sheet name="mb-cc road" sheetId="2" r:id="rId2"/>
  </sheets>
  <definedNames>
    <definedName name="_xlnm.Print_Area" localSheetId="1">'mb-cc road'!$A$1:$P$20</definedName>
    <definedName name="_xlnm.Print_Area" localSheetId="0">'mb-paver'!$A$1:$N$33</definedName>
  </definedNames>
  <calcPr calcId="152511"/>
</workbook>
</file>

<file path=xl/calcChain.xml><?xml version="1.0" encoding="utf-8"?>
<calcChain xmlns="http://schemas.openxmlformats.org/spreadsheetml/2006/main">
  <c r="C4" i="2" l="1"/>
  <c r="C3" i="2"/>
  <c r="L20" i="2"/>
  <c r="H20" i="2"/>
  <c r="G20" i="2"/>
  <c r="L17" i="2"/>
  <c r="H17" i="2"/>
  <c r="G17" i="2"/>
  <c r="I13" i="2" l="1"/>
  <c r="M10" i="2"/>
  <c r="L10" i="2"/>
  <c r="P10" i="2" s="1"/>
  <c r="J10" i="2"/>
  <c r="M9" i="2"/>
  <c r="L9" i="2"/>
  <c r="P9" i="2" s="1"/>
  <c r="E9" i="2"/>
  <c r="M8" i="2"/>
  <c r="L8" i="2"/>
  <c r="P8" i="2" s="1"/>
  <c r="E8" i="2"/>
  <c r="M7" i="2"/>
  <c r="P7" i="2" s="1"/>
  <c r="L7" i="2"/>
  <c r="M6" i="2"/>
  <c r="L6" i="2"/>
  <c r="M5" i="2"/>
  <c r="L5" i="2"/>
  <c r="N4" i="2"/>
  <c r="N5" i="2" s="1"/>
  <c r="N6" i="2" s="1"/>
  <c r="N7" i="2" s="1"/>
  <c r="M4" i="2"/>
  <c r="L4" i="2"/>
  <c r="I4" i="2"/>
  <c r="I5" i="2" s="1"/>
  <c r="M3" i="2"/>
  <c r="L3" i="2"/>
  <c r="J3" i="2"/>
  <c r="C5" i="2"/>
  <c r="E5" i="2" s="1"/>
  <c r="M2" i="2"/>
  <c r="H2" i="2"/>
  <c r="O6" i="2" l="1"/>
  <c r="P4" i="2"/>
  <c r="P6" i="2"/>
  <c r="O5" i="2"/>
  <c r="P3" i="2"/>
  <c r="O3" i="2"/>
  <c r="E4" i="2"/>
  <c r="C6" i="2"/>
  <c r="E6" i="2" s="1"/>
  <c r="J5" i="2"/>
  <c r="I6" i="2"/>
  <c r="O7" i="2"/>
  <c r="N8" i="2"/>
  <c r="N9" i="2" s="1"/>
  <c r="P5" i="2"/>
  <c r="E3" i="2"/>
  <c r="O4" i="2"/>
  <c r="J4" i="2"/>
  <c r="L32" i="1"/>
  <c r="M32" i="1" s="1"/>
  <c r="H32" i="1"/>
  <c r="I32" i="1" s="1"/>
  <c r="L31" i="1"/>
  <c r="M31" i="1" s="1"/>
  <c r="H31" i="1"/>
  <c r="I31" i="1" s="1"/>
  <c r="L30" i="1"/>
  <c r="M30" i="1" s="1"/>
  <c r="H30" i="1"/>
  <c r="I30" i="1" s="1"/>
  <c r="L29" i="1"/>
  <c r="M29" i="1" s="1"/>
  <c r="H29" i="1"/>
  <c r="I29" i="1" s="1"/>
  <c r="L28" i="1"/>
  <c r="M28" i="1" s="1"/>
  <c r="L27" i="1"/>
  <c r="M27" i="1" s="1"/>
  <c r="L26" i="1"/>
  <c r="M26" i="1" s="1"/>
  <c r="L25" i="1"/>
  <c r="M25" i="1" s="1"/>
  <c r="L24" i="1"/>
  <c r="L23" i="1"/>
  <c r="M23" i="1" s="1"/>
  <c r="L22" i="1"/>
  <c r="L21" i="1"/>
  <c r="H28" i="1"/>
  <c r="H27" i="1"/>
  <c r="H26" i="1"/>
  <c r="H25" i="1"/>
  <c r="H24" i="1"/>
  <c r="H23" i="1"/>
  <c r="H22" i="1"/>
  <c r="H21" i="1"/>
  <c r="J3" i="1"/>
  <c r="K14" i="1"/>
  <c r="K13" i="1"/>
  <c r="K12" i="1"/>
  <c r="K11" i="1"/>
  <c r="K10" i="1"/>
  <c r="K9" i="1"/>
  <c r="K8" i="1"/>
  <c r="K7" i="1"/>
  <c r="K6" i="1"/>
  <c r="K5" i="1"/>
  <c r="K4" i="1"/>
  <c r="K3" i="1"/>
  <c r="L14" i="1"/>
  <c r="L13" i="1"/>
  <c r="L12" i="1"/>
  <c r="L11" i="1"/>
  <c r="L10" i="1"/>
  <c r="L9" i="1"/>
  <c r="L8" i="1"/>
  <c r="L7" i="1"/>
  <c r="L6" i="1"/>
  <c r="L5" i="1"/>
  <c r="L4" i="1"/>
  <c r="L3" i="1"/>
  <c r="O8" i="2" l="1"/>
  <c r="P11" i="2"/>
  <c r="G14" i="2" s="1"/>
  <c r="J14" i="2" s="1"/>
  <c r="J15" i="2" s="1"/>
  <c r="J16" i="2" s="1"/>
  <c r="N10" i="2"/>
  <c r="O10" i="2" s="1"/>
  <c r="O9" i="2"/>
  <c r="J6" i="2"/>
  <c r="I7" i="2"/>
  <c r="L15" i="1"/>
  <c r="G16" i="1" s="1"/>
  <c r="H16" i="1" s="1"/>
  <c r="L16" i="1" s="1"/>
  <c r="C3" i="1" s="1"/>
  <c r="K15" i="1"/>
  <c r="C4" i="1" s="1"/>
  <c r="M24" i="1"/>
  <c r="M21" i="1"/>
  <c r="M33" i="1" s="1"/>
  <c r="M22" i="1"/>
  <c r="I28" i="1"/>
  <c r="I27" i="1"/>
  <c r="I26" i="1"/>
  <c r="I25" i="1"/>
  <c r="I24" i="1"/>
  <c r="I23" i="1"/>
  <c r="I22" i="1"/>
  <c r="I21" i="1"/>
  <c r="I33" i="1" s="1"/>
  <c r="C5" i="1" s="1"/>
  <c r="H20" i="1"/>
  <c r="E7" i="1"/>
  <c r="E6" i="1"/>
  <c r="I4" i="1"/>
  <c r="J19" i="2" l="1"/>
  <c r="O11" i="2"/>
  <c r="C7" i="2" s="1"/>
  <c r="E7" i="2" s="1"/>
  <c r="I8" i="2"/>
  <c r="J7" i="2"/>
  <c r="E3" i="1"/>
  <c r="I5" i="1"/>
  <c r="J5" i="1" s="1"/>
  <c r="J4" i="1"/>
  <c r="E5" i="1"/>
  <c r="E4" i="1"/>
  <c r="I6" i="1"/>
  <c r="J6" i="1" s="1"/>
  <c r="I9" i="2" l="1"/>
  <c r="J9" i="2" s="1"/>
  <c r="J8" i="2"/>
  <c r="I7" i="1"/>
  <c r="J7" i="1" s="1"/>
  <c r="J11" i="2" l="1"/>
  <c r="C2" i="2" s="1"/>
  <c r="E2" i="2" s="1"/>
  <c r="E10" i="2" s="1"/>
  <c r="I8" i="1"/>
  <c r="J8" i="1" s="1"/>
  <c r="E11" i="2" l="1"/>
  <c r="E12" i="2" s="1"/>
  <c r="E14" i="2" s="1"/>
  <c r="I9" i="1"/>
  <c r="J9" i="1" s="1"/>
  <c r="I10" i="1" l="1"/>
  <c r="I11" i="1" l="1"/>
  <c r="J10" i="1"/>
  <c r="J11" i="1" l="1"/>
  <c r="I12" i="1"/>
  <c r="I13" i="1" l="1"/>
  <c r="J12" i="1"/>
  <c r="I14" i="1" l="1"/>
  <c r="J14" i="1" s="1"/>
  <c r="J13" i="1"/>
  <c r="J15" i="1" s="1"/>
  <c r="C2" i="1" s="1"/>
  <c r="E2" i="1" l="1"/>
  <c r="E8" i="1" s="1"/>
  <c r="E9" i="1" s="1"/>
  <c r="E10" i="1" s="1"/>
  <c r="E12" i="1" s="1"/>
</calcChain>
</file>

<file path=xl/sharedStrings.xml><?xml version="1.0" encoding="utf-8"?>
<sst xmlns="http://schemas.openxmlformats.org/spreadsheetml/2006/main" count="38" uniqueCount="25">
  <si>
    <t>EXCAVATION</t>
  </si>
  <si>
    <t>BLOCK</t>
  </si>
  <si>
    <t>VATA</t>
  </si>
  <si>
    <t>Test</t>
  </si>
  <si>
    <t>NAME PLATE</t>
  </si>
  <si>
    <t>18% GST</t>
  </si>
  <si>
    <t>Total</t>
  </si>
  <si>
    <t>Est</t>
  </si>
  <si>
    <t>Net</t>
  </si>
  <si>
    <t>Binding material</t>
  </si>
  <si>
    <t>Item No</t>
  </si>
  <si>
    <t>Box</t>
  </si>
  <si>
    <t>BOX CUTTING</t>
  </si>
  <si>
    <t xml:space="preserve">40 TO 63 </t>
  </si>
  <si>
    <t>MURRUM</t>
  </si>
  <si>
    <t>SPREADING</t>
  </si>
  <si>
    <t>1:02:4...</t>
  </si>
  <si>
    <t>TESTING</t>
  </si>
  <si>
    <t>ADD GST</t>
  </si>
  <si>
    <t>TOTAL</t>
  </si>
  <si>
    <t>EST</t>
  </si>
  <si>
    <t>NET</t>
  </si>
  <si>
    <t>ADD FOR VOIDS</t>
  </si>
  <si>
    <t>TOTAL QTY</t>
  </si>
  <si>
    <t>ITEM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</si>
</sst>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Protection="1"/>
    <xf numFmtId="0" fontId="1" fillId="0" borderId="1" xfId="0" applyFont="1" applyBorder="1" applyProtection="1"/>
    <xf numFmtId="0" fontId="1" fillId="0" borderId="1" xfId="0" applyFont="1" applyFill="1" applyBorder="1" applyProtection="1"/>
    <xf numFmtId="2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 applyProtection="1"/>
    <xf numFmtId="0" fontId="2" fillId="0" borderId="1" xfId="0" applyFont="1" applyFill="1" applyBorder="1" applyProtection="1"/>
    <xf numFmtId="2" fontId="2" fillId="2" borderId="1" xfId="0" applyNumberFormat="1" applyFont="1" applyFill="1" applyBorder="1" applyProtection="1">
      <protection locked="0"/>
    </xf>
    <xf numFmtId="0" fontId="3" fillId="4" borderId="1" xfId="0" applyFont="1" applyFill="1" applyBorder="1" applyProtection="1"/>
    <xf numFmtId="2" fontId="3" fillId="4" borderId="1" xfId="0" applyNumberFormat="1" applyFont="1" applyFill="1" applyBorder="1" applyProtection="1"/>
    <xf numFmtId="0" fontId="3" fillId="0" borderId="1" xfId="0" applyFont="1" applyBorder="1" applyProtection="1">
      <protection locked="0"/>
    </xf>
    <xf numFmtId="2" fontId="2" fillId="0" borderId="1" xfId="0" applyNumberFormat="1" applyFont="1" applyFill="1" applyBorder="1" applyProtection="1">
      <protection locked="0"/>
    </xf>
    <xf numFmtId="0" fontId="1" fillId="0" borderId="0" xfId="0" applyFont="1" applyBorder="1" applyProtection="1"/>
    <xf numFmtId="2" fontId="2" fillId="0" borderId="0" xfId="0" applyNumberFormat="1" applyFont="1" applyBorder="1" applyProtection="1">
      <protection locked="0"/>
    </xf>
    <xf numFmtId="2" fontId="1" fillId="0" borderId="0" xfId="0" applyNumberFormat="1" applyFont="1" applyFill="1" applyBorder="1" applyProtection="1"/>
    <xf numFmtId="0" fontId="1" fillId="0" borderId="1" xfId="0" applyFont="1" applyBorder="1" applyAlignment="1" applyProtection="1">
      <alignment horizontal="left" vertical="top"/>
    </xf>
    <xf numFmtId="2" fontId="1" fillId="0" borderId="1" xfId="0" applyNumberFormat="1" applyFont="1" applyBorder="1" applyAlignment="1" applyProtection="1">
      <alignment horizontal="left" vertical="top"/>
    </xf>
    <xf numFmtId="21" fontId="1" fillId="0" borderId="1" xfId="0" applyNumberFormat="1" applyFont="1" applyBorder="1" applyAlignment="1" applyProtection="1">
      <alignment horizontal="left" vertical="top"/>
    </xf>
    <xf numFmtId="9" fontId="1" fillId="0" borderId="0" xfId="0" applyNumberFormat="1" applyFont="1" applyAlignment="1" applyProtection="1">
      <alignment horizontal="left" vertical="top"/>
    </xf>
    <xf numFmtId="0" fontId="1" fillId="0" borderId="1" xfId="0" applyFont="1" applyFill="1" applyBorder="1" applyAlignment="1" applyProtection="1">
      <alignment horizontal="left" vertical="top"/>
    </xf>
    <xf numFmtId="2" fontId="1" fillId="0" borderId="1" xfId="0" applyNumberFormat="1" applyFont="1" applyFill="1" applyBorder="1" applyAlignment="1" applyProtection="1">
      <alignment horizontal="left" vertical="top"/>
    </xf>
    <xf numFmtId="0" fontId="2" fillId="0" borderId="1" xfId="0" applyFont="1" applyBorder="1" applyAlignment="1" applyProtection="1">
      <alignment horizontal="left" vertical="top"/>
      <protection locked="0"/>
    </xf>
    <xf numFmtId="2" fontId="2" fillId="0" borderId="1" xfId="0" applyNumberFormat="1" applyFont="1" applyBorder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2" fontId="2" fillId="0" borderId="1" xfId="0" applyNumberFormat="1" applyFont="1" applyFill="1" applyBorder="1" applyAlignment="1" applyProtection="1">
      <alignment horizontal="left" vertical="top"/>
      <protection locked="0"/>
    </xf>
    <xf numFmtId="2" fontId="2" fillId="0" borderId="1" xfId="0" applyNumberFormat="1" applyFont="1" applyBorder="1" applyAlignment="1" applyProtection="1">
      <alignment horizontal="left" vertical="top"/>
    </xf>
    <xf numFmtId="0" fontId="2" fillId="0" borderId="1" xfId="0" applyFont="1" applyBorder="1" applyAlignment="1" applyProtection="1">
      <alignment horizontal="left" vertical="top"/>
    </xf>
    <xf numFmtId="0" fontId="2" fillId="0" borderId="1" xfId="0" applyFont="1" applyFill="1" applyBorder="1" applyAlignment="1" applyProtection="1">
      <alignment horizontal="left" vertical="top"/>
    </xf>
    <xf numFmtId="2" fontId="2" fillId="0" borderId="1" xfId="0" applyNumberFormat="1" applyFont="1" applyFill="1" applyBorder="1" applyAlignment="1" applyProtection="1">
      <alignment horizontal="left" vertical="top"/>
    </xf>
    <xf numFmtId="9" fontId="2" fillId="0" borderId="1" xfId="0" applyNumberFormat="1" applyFont="1" applyFill="1" applyBorder="1" applyAlignment="1" applyProtection="1">
      <alignment horizontal="left" vertical="top"/>
    </xf>
    <xf numFmtId="9" fontId="2" fillId="0" borderId="1" xfId="0" applyNumberFormat="1" applyFont="1" applyBorder="1" applyAlignment="1" applyProtection="1">
      <alignment horizontal="left" vertical="top"/>
    </xf>
    <xf numFmtId="0" fontId="1" fillId="3" borderId="1" xfId="0" applyFont="1" applyFill="1" applyBorder="1" applyAlignment="1" applyProtection="1">
      <alignment horizontal="center"/>
    </xf>
    <xf numFmtId="0" fontId="1" fillId="0" borderId="1" xfId="0" applyFont="1" applyBorder="1" applyProtection="1"/>
    <xf numFmtId="0" fontId="3" fillId="3" borderId="1" xfId="0" applyFont="1" applyFill="1" applyBorder="1" applyAlignment="1" applyProtection="1">
      <alignment horizontal="center"/>
    </xf>
    <xf numFmtId="0" fontId="3" fillId="0" borderId="1" xfId="0" applyFont="1" applyBorder="1" applyProtection="1"/>
    <xf numFmtId="0" fontId="1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Protection="1"/>
    <xf numFmtId="0" fontId="1" fillId="0" borderId="1" xfId="0" applyFont="1" applyFill="1" applyBorder="1" applyAlignment="1" applyProtection="1">
      <alignment horizontal="left" vertical="top"/>
    </xf>
    <xf numFmtId="21" fontId="1" fillId="0" borderId="1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view="pageBreakPreview" zoomScale="115" zoomScaleNormal="100" zoomScaleSheetLayoutView="115" workbookViewId="0">
      <selection activeCell="H5" sqref="H5"/>
    </sheetView>
  </sheetViews>
  <sheetFormatPr defaultRowHeight="14.4" x14ac:dyDescent="0.3"/>
  <cols>
    <col min="1" max="1" width="14.21875" style="1" bestFit="1" customWidth="1"/>
    <col min="2" max="14" width="8.88671875" style="1"/>
    <col min="15" max="15" width="8.88671875" style="13"/>
    <col min="16" max="16384" width="8.88671875" style="1"/>
  </cols>
  <sheetData>
    <row r="1" spans="1:14" x14ac:dyDescent="0.3">
      <c r="A1" s="2"/>
      <c r="B1" s="2"/>
      <c r="C1" s="2"/>
      <c r="D1" s="2"/>
      <c r="E1" s="2"/>
      <c r="F1" s="2"/>
      <c r="G1" s="2" t="s">
        <v>10</v>
      </c>
      <c r="H1" s="2"/>
      <c r="I1" s="2"/>
      <c r="J1" s="2"/>
      <c r="K1" s="2" t="s">
        <v>10</v>
      </c>
      <c r="L1" s="2" t="s">
        <v>10</v>
      </c>
      <c r="M1" s="2"/>
      <c r="N1" s="2"/>
    </row>
    <row r="2" spans="1:14" x14ac:dyDescent="0.3">
      <c r="A2" s="2" t="s">
        <v>0</v>
      </c>
      <c r="B2" s="2">
        <v>1</v>
      </c>
      <c r="C2" s="4">
        <f>J15</f>
        <v>34</v>
      </c>
      <c r="D2" s="2">
        <v>156.56</v>
      </c>
      <c r="E2" s="6">
        <f t="shared" ref="E2:E7" si="0">C2*D2</f>
        <v>5323.04</v>
      </c>
      <c r="F2" s="2"/>
      <c r="G2" s="9">
        <v>1</v>
      </c>
      <c r="H2" s="32"/>
      <c r="I2" s="33"/>
      <c r="J2" s="33"/>
      <c r="K2" s="9">
        <v>3</v>
      </c>
      <c r="L2" s="10">
        <v>2</v>
      </c>
      <c r="M2" s="2"/>
      <c r="N2" s="2"/>
    </row>
    <row r="3" spans="1:14" x14ac:dyDescent="0.3">
      <c r="A3" s="2" t="s">
        <v>9</v>
      </c>
      <c r="B3" s="2">
        <v>2</v>
      </c>
      <c r="C3" s="4">
        <f>L16</f>
        <v>16.5</v>
      </c>
      <c r="D3" s="2">
        <v>210.42</v>
      </c>
      <c r="E3" s="6">
        <f t="shared" si="0"/>
        <v>3471.93</v>
      </c>
      <c r="F3" s="2"/>
      <c r="G3" s="5">
        <v>12</v>
      </c>
      <c r="H3" s="5">
        <v>10</v>
      </c>
      <c r="I3" s="5">
        <v>0.2</v>
      </c>
      <c r="J3" s="4">
        <f t="shared" ref="J3:J9" si="1">G3*H3*I3</f>
        <v>24</v>
      </c>
      <c r="K3" s="5">
        <f t="shared" ref="K3:K14" si="2">G3*H3</f>
        <v>120</v>
      </c>
      <c r="L3" s="4">
        <f t="shared" ref="L3:L14" si="3">G3*H3*0.1</f>
        <v>12</v>
      </c>
      <c r="M3" s="2"/>
      <c r="N3" s="2"/>
    </row>
    <row r="4" spans="1:14" x14ac:dyDescent="0.3">
      <c r="A4" s="2" t="s">
        <v>1</v>
      </c>
      <c r="B4" s="2">
        <v>3</v>
      </c>
      <c r="C4" s="4">
        <f>K15</f>
        <v>170</v>
      </c>
      <c r="D4" s="2">
        <v>740.51</v>
      </c>
      <c r="E4" s="6">
        <f t="shared" si="0"/>
        <v>125886.7</v>
      </c>
      <c r="F4" s="3"/>
      <c r="G4" s="5">
        <v>10</v>
      </c>
      <c r="H4" s="5">
        <v>5</v>
      </c>
      <c r="I4" s="5">
        <f t="shared" ref="I4:I11" si="4">I3</f>
        <v>0.2</v>
      </c>
      <c r="J4" s="4">
        <f t="shared" si="1"/>
        <v>10</v>
      </c>
      <c r="K4" s="4">
        <f t="shared" si="2"/>
        <v>50</v>
      </c>
      <c r="L4" s="4">
        <f t="shared" si="3"/>
        <v>5</v>
      </c>
      <c r="M4" s="2"/>
      <c r="N4" s="2"/>
    </row>
    <row r="5" spans="1:14" x14ac:dyDescent="0.3">
      <c r="A5" s="2" t="s">
        <v>2</v>
      </c>
      <c r="B5" s="2">
        <v>4</v>
      </c>
      <c r="C5" s="4">
        <f>I33+M33</f>
        <v>74</v>
      </c>
      <c r="D5" s="2">
        <v>23.68</v>
      </c>
      <c r="E5" s="6">
        <f t="shared" si="0"/>
        <v>1752.32</v>
      </c>
      <c r="F5" s="2"/>
      <c r="G5" s="5">
        <v>0</v>
      </c>
      <c r="H5" s="5">
        <v>0</v>
      </c>
      <c r="I5" s="5">
        <f t="shared" si="4"/>
        <v>0.2</v>
      </c>
      <c r="J5" s="4">
        <f t="shared" si="1"/>
        <v>0</v>
      </c>
      <c r="K5" s="4">
        <f t="shared" si="2"/>
        <v>0</v>
      </c>
      <c r="L5" s="4">
        <f t="shared" si="3"/>
        <v>0</v>
      </c>
      <c r="M5" s="2"/>
      <c r="N5" s="2"/>
    </row>
    <row r="6" spans="1:14" x14ac:dyDescent="0.3">
      <c r="A6" s="2" t="s">
        <v>3</v>
      </c>
      <c r="B6" s="2">
        <v>5</v>
      </c>
      <c r="C6" s="5">
        <v>0</v>
      </c>
      <c r="D6" s="2">
        <v>608</v>
      </c>
      <c r="E6" s="6">
        <f t="shared" si="0"/>
        <v>0</v>
      </c>
      <c r="F6" s="2"/>
      <c r="G6" s="5">
        <v>0</v>
      </c>
      <c r="H6" s="5">
        <v>0</v>
      </c>
      <c r="I6" s="5">
        <f t="shared" si="4"/>
        <v>0.2</v>
      </c>
      <c r="J6" s="4">
        <f t="shared" si="1"/>
        <v>0</v>
      </c>
      <c r="K6" s="5">
        <f t="shared" si="2"/>
        <v>0</v>
      </c>
      <c r="L6" s="4">
        <f t="shared" si="3"/>
        <v>0</v>
      </c>
      <c r="M6" s="2"/>
      <c r="N6" s="2"/>
    </row>
    <row r="7" spans="1:14" x14ac:dyDescent="0.3">
      <c r="A7" s="2" t="s">
        <v>4</v>
      </c>
      <c r="B7" s="2">
        <v>6</v>
      </c>
      <c r="C7" s="5">
        <v>0</v>
      </c>
      <c r="D7" s="2">
        <v>306.14</v>
      </c>
      <c r="E7" s="6">
        <f t="shared" si="0"/>
        <v>0</v>
      </c>
      <c r="F7" s="2"/>
      <c r="G7" s="5">
        <v>0</v>
      </c>
      <c r="H7" s="5">
        <v>0</v>
      </c>
      <c r="I7" s="5">
        <f t="shared" si="4"/>
        <v>0.2</v>
      </c>
      <c r="J7" s="5">
        <f t="shared" si="1"/>
        <v>0</v>
      </c>
      <c r="K7" s="5">
        <f t="shared" si="2"/>
        <v>0</v>
      </c>
      <c r="L7" s="4">
        <f t="shared" si="3"/>
        <v>0</v>
      </c>
      <c r="M7" s="2"/>
      <c r="N7" s="2"/>
    </row>
    <row r="8" spans="1:14" x14ac:dyDescent="0.3">
      <c r="A8" s="2"/>
      <c r="B8" s="2"/>
      <c r="C8" s="2"/>
      <c r="D8" s="2"/>
      <c r="E8" s="6">
        <f>SUM(E2:E7)</f>
        <v>136433.99</v>
      </c>
      <c r="F8" s="2"/>
      <c r="G8" s="5">
        <v>0</v>
      </c>
      <c r="H8" s="5">
        <v>0</v>
      </c>
      <c r="I8" s="5">
        <f t="shared" si="4"/>
        <v>0.2</v>
      </c>
      <c r="J8" s="5">
        <f t="shared" si="1"/>
        <v>0</v>
      </c>
      <c r="K8" s="5">
        <f t="shared" si="2"/>
        <v>0</v>
      </c>
      <c r="L8" s="4">
        <f t="shared" si="3"/>
        <v>0</v>
      </c>
      <c r="M8" s="2"/>
      <c r="N8" s="2"/>
    </row>
    <row r="9" spans="1:14" x14ac:dyDescent="0.3">
      <c r="A9" s="2"/>
      <c r="B9" s="2"/>
      <c r="C9" s="2"/>
      <c r="D9" s="2" t="s">
        <v>5</v>
      </c>
      <c r="E9" s="6">
        <f>E8*18%</f>
        <v>24558.118199999997</v>
      </c>
      <c r="F9" s="2"/>
      <c r="G9" s="5">
        <v>0</v>
      </c>
      <c r="H9" s="5">
        <v>0</v>
      </c>
      <c r="I9" s="5">
        <f t="shared" si="4"/>
        <v>0.2</v>
      </c>
      <c r="J9" s="5">
        <f t="shared" si="1"/>
        <v>0</v>
      </c>
      <c r="K9" s="5">
        <f t="shared" si="2"/>
        <v>0</v>
      </c>
      <c r="L9" s="4">
        <f t="shared" si="3"/>
        <v>0</v>
      </c>
      <c r="M9" s="2"/>
      <c r="N9" s="2"/>
    </row>
    <row r="10" spans="1:14" x14ac:dyDescent="0.3">
      <c r="A10" s="2"/>
      <c r="B10" s="2"/>
      <c r="C10" s="2"/>
      <c r="D10" s="2" t="s">
        <v>6</v>
      </c>
      <c r="E10" s="6">
        <f>E8+E9</f>
        <v>160992.10819999999</v>
      </c>
      <c r="F10" s="2"/>
      <c r="G10" s="5">
        <v>0</v>
      </c>
      <c r="H10" s="5">
        <v>0</v>
      </c>
      <c r="I10" s="5">
        <f t="shared" si="4"/>
        <v>0.2</v>
      </c>
      <c r="J10" s="5">
        <f t="shared" ref="J10:J14" si="5">G10*H10*I10</f>
        <v>0</v>
      </c>
      <c r="K10" s="5">
        <f t="shared" si="2"/>
        <v>0</v>
      </c>
      <c r="L10" s="4">
        <f t="shared" si="3"/>
        <v>0</v>
      </c>
      <c r="M10" s="2"/>
      <c r="N10" s="2"/>
    </row>
    <row r="11" spans="1:14" x14ac:dyDescent="0.3">
      <c r="A11" s="2"/>
      <c r="B11" s="2"/>
      <c r="C11" s="2"/>
      <c r="D11" s="2" t="s">
        <v>7</v>
      </c>
      <c r="E11" s="6">
        <v>100000</v>
      </c>
      <c r="F11" s="2"/>
      <c r="G11" s="5">
        <v>0</v>
      </c>
      <c r="H11" s="5">
        <v>0</v>
      </c>
      <c r="I11" s="5">
        <f t="shared" si="4"/>
        <v>0.2</v>
      </c>
      <c r="J11" s="5">
        <f t="shared" si="5"/>
        <v>0</v>
      </c>
      <c r="K11" s="5">
        <f t="shared" si="2"/>
        <v>0</v>
      </c>
      <c r="L11" s="4">
        <f t="shared" si="3"/>
        <v>0</v>
      </c>
      <c r="M11" s="2"/>
      <c r="N11" s="2"/>
    </row>
    <row r="12" spans="1:14" x14ac:dyDescent="0.3">
      <c r="A12" s="2"/>
      <c r="B12" s="2"/>
      <c r="C12" s="2"/>
      <c r="D12" s="2" t="s">
        <v>8</v>
      </c>
      <c r="E12" s="7">
        <f>E11-E10</f>
        <v>-60992.108199999988</v>
      </c>
      <c r="F12" s="2"/>
      <c r="G12" s="5">
        <v>0</v>
      </c>
      <c r="H12" s="5">
        <v>0</v>
      </c>
      <c r="I12" s="5">
        <f>I11</f>
        <v>0.2</v>
      </c>
      <c r="J12" s="5">
        <f t="shared" si="5"/>
        <v>0</v>
      </c>
      <c r="K12" s="5">
        <f t="shared" si="2"/>
        <v>0</v>
      </c>
      <c r="L12" s="4">
        <f t="shared" si="3"/>
        <v>0</v>
      </c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5">
        <v>0</v>
      </c>
      <c r="H13" s="5">
        <v>0</v>
      </c>
      <c r="I13" s="5">
        <f>I12</f>
        <v>0.2</v>
      </c>
      <c r="J13" s="5">
        <f t="shared" si="5"/>
        <v>0</v>
      </c>
      <c r="K13" s="5">
        <f t="shared" si="2"/>
        <v>0</v>
      </c>
      <c r="L13" s="4">
        <f t="shared" si="3"/>
        <v>0</v>
      </c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5">
        <v>0</v>
      </c>
      <c r="H14" s="5">
        <v>0</v>
      </c>
      <c r="I14" s="5">
        <f>I13</f>
        <v>0.2</v>
      </c>
      <c r="J14" s="5">
        <f t="shared" si="5"/>
        <v>0</v>
      </c>
      <c r="K14" s="5">
        <f t="shared" si="2"/>
        <v>0</v>
      </c>
      <c r="L14" s="4">
        <f t="shared" si="3"/>
        <v>0</v>
      </c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5"/>
      <c r="H15" s="5"/>
      <c r="I15" s="11" t="s">
        <v>6</v>
      </c>
      <c r="J15" s="8">
        <f>SUM(J3:J14)</f>
        <v>34</v>
      </c>
      <c r="K15" s="8">
        <f>SUM(K3:K14)</f>
        <v>170</v>
      </c>
      <c r="L15" s="8">
        <f>SUM(L3:L14)</f>
        <v>17</v>
      </c>
      <c r="M15" s="2"/>
      <c r="N15" s="2"/>
    </row>
    <row r="16" spans="1:14" x14ac:dyDescent="0.3">
      <c r="A16" s="2"/>
      <c r="B16" s="2"/>
      <c r="C16" s="2"/>
      <c r="D16" s="2"/>
      <c r="E16" s="2"/>
      <c r="F16" s="2" t="s">
        <v>11</v>
      </c>
      <c r="G16" s="5">
        <f>L15/1.5</f>
        <v>11.333333333333334</v>
      </c>
      <c r="H16" s="5">
        <f>ROUNDDOWN(G16,0)</f>
        <v>11</v>
      </c>
      <c r="I16" s="5">
        <v>2</v>
      </c>
      <c r="J16" s="5">
        <v>1.5</v>
      </c>
      <c r="K16" s="5">
        <v>0.5</v>
      </c>
      <c r="L16" s="5">
        <f>H16*I16*J16*K16</f>
        <v>16.5</v>
      </c>
      <c r="M16" s="2"/>
      <c r="N16" s="2"/>
    </row>
    <row r="17" spans="1:15" x14ac:dyDescent="0.3">
      <c r="A17" s="2"/>
      <c r="B17" s="2"/>
      <c r="C17" s="2"/>
      <c r="D17" s="2"/>
      <c r="E17" s="2"/>
      <c r="F17" s="2"/>
      <c r="G17" s="3"/>
      <c r="H17" s="36"/>
      <c r="I17" s="37"/>
      <c r="J17" s="37"/>
      <c r="K17" s="2"/>
      <c r="L17" s="2"/>
      <c r="M17" s="2"/>
      <c r="N17" s="2"/>
    </row>
    <row r="18" spans="1:15" x14ac:dyDescent="0.3">
      <c r="A18" s="2"/>
      <c r="B18" s="2"/>
      <c r="C18" s="2"/>
      <c r="D18" s="2"/>
      <c r="E18" s="2"/>
      <c r="F18" s="2"/>
      <c r="G18" s="3"/>
      <c r="H18" s="3"/>
      <c r="I18" s="3"/>
      <c r="J18" s="3"/>
      <c r="K18" s="2"/>
      <c r="L18" s="2"/>
      <c r="M18" s="2"/>
      <c r="N18" s="2"/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5" x14ac:dyDescent="0.3">
      <c r="A20" s="2"/>
      <c r="B20" s="2"/>
      <c r="C20" s="2"/>
      <c r="D20" s="2"/>
      <c r="E20" s="2"/>
      <c r="F20" s="2"/>
      <c r="G20" s="9">
        <v>4</v>
      </c>
      <c r="H20" s="34" t="str">
        <f>A5</f>
        <v>VATA</v>
      </c>
      <c r="I20" s="35"/>
      <c r="J20" s="35"/>
      <c r="K20" s="2"/>
      <c r="L20" s="2"/>
      <c r="M20" s="2"/>
      <c r="N20" s="2"/>
    </row>
    <row r="21" spans="1:15" x14ac:dyDescent="0.3">
      <c r="A21" s="2"/>
      <c r="B21" s="2"/>
      <c r="C21" s="2"/>
      <c r="D21" s="2"/>
      <c r="E21" s="2"/>
      <c r="F21" s="2"/>
      <c r="G21" s="5">
        <v>2</v>
      </c>
      <c r="H21" s="5">
        <f t="shared" ref="H21:H32" si="6">G3</f>
        <v>12</v>
      </c>
      <c r="I21" s="4">
        <f t="shared" ref="I21:I32" si="7">G21*H21</f>
        <v>24</v>
      </c>
      <c r="J21" s="2"/>
      <c r="K21" s="5">
        <v>2</v>
      </c>
      <c r="L21" s="5">
        <f t="shared" ref="L21:L32" si="8">H3</f>
        <v>10</v>
      </c>
      <c r="M21" s="4">
        <f t="shared" ref="M21:M32" si="9">K21*L21</f>
        <v>20</v>
      </c>
      <c r="N21" s="5"/>
      <c r="O21" s="14"/>
    </row>
    <row r="22" spans="1:15" x14ac:dyDescent="0.3">
      <c r="A22" s="2"/>
      <c r="B22" s="2"/>
      <c r="C22" s="2"/>
      <c r="D22" s="2"/>
      <c r="E22" s="2"/>
      <c r="F22" s="2"/>
      <c r="G22" s="5">
        <v>2</v>
      </c>
      <c r="H22" s="5">
        <f t="shared" si="6"/>
        <v>10</v>
      </c>
      <c r="I22" s="4">
        <f t="shared" si="7"/>
        <v>20</v>
      </c>
      <c r="J22" s="2"/>
      <c r="K22" s="5">
        <v>2</v>
      </c>
      <c r="L22" s="5">
        <f t="shared" si="8"/>
        <v>5</v>
      </c>
      <c r="M22" s="4">
        <f t="shared" si="9"/>
        <v>10</v>
      </c>
      <c r="N22" s="5"/>
      <c r="O22" s="14"/>
    </row>
    <row r="23" spans="1:15" x14ac:dyDescent="0.3">
      <c r="A23" s="2"/>
      <c r="B23" s="2"/>
      <c r="C23" s="2"/>
      <c r="D23" s="2"/>
      <c r="E23" s="2"/>
      <c r="F23" s="2"/>
      <c r="G23" s="5">
        <v>2</v>
      </c>
      <c r="H23" s="5">
        <f t="shared" si="6"/>
        <v>0</v>
      </c>
      <c r="I23" s="4">
        <f t="shared" si="7"/>
        <v>0</v>
      </c>
      <c r="J23" s="2"/>
      <c r="K23" s="5">
        <v>2</v>
      </c>
      <c r="L23" s="5">
        <f t="shared" si="8"/>
        <v>0</v>
      </c>
      <c r="M23" s="4">
        <f t="shared" si="9"/>
        <v>0</v>
      </c>
      <c r="N23" s="5"/>
      <c r="O23" s="14"/>
    </row>
    <row r="24" spans="1:15" x14ac:dyDescent="0.3">
      <c r="A24" s="2"/>
      <c r="B24" s="2"/>
      <c r="C24" s="2"/>
      <c r="D24" s="2"/>
      <c r="E24" s="2"/>
      <c r="F24" s="2"/>
      <c r="G24" s="5">
        <v>2</v>
      </c>
      <c r="H24" s="5">
        <f t="shared" si="6"/>
        <v>0</v>
      </c>
      <c r="I24" s="4">
        <f t="shared" si="7"/>
        <v>0</v>
      </c>
      <c r="J24" s="2"/>
      <c r="K24" s="5">
        <v>2</v>
      </c>
      <c r="L24" s="5">
        <f t="shared" si="8"/>
        <v>0</v>
      </c>
      <c r="M24" s="4">
        <f t="shared" si="9"/>
        <v>0</v>
      </c>
      <c r="N24" s="5"/>
      <c r="O24" s="14"/>
    </row>
    <row r="25" spans="1:15" x14ac:dyDescent="0.3">
      <c r="A25" s="2"/>
      <c r="B25" s="2"/>
      <c r="C25" s="2"/>
      <c r="D25" s="2"/>
      <c r="E25" s="2"/>
      <c r="F25" s="2"/>
      <c r="G25" s="5">
        <v>2</v>
      </c>
      <c r="H25" s="5">
        <f t="shared" si="6"/>
        <v>0</v>
      </c>
      <c r="I25" s="4">
        <f t="shared" si="7"/>
        <v>0</v>
      </c>
      <c r="J25" s="2"/>
      <c r="K25" s="5">
        <v>2</v>
      </c>
      <c r="L25" s="5">
        <f t="shared" si="8"/>
        <v>0</v>
      </c>
      <c r="M25" s="4">
        <f t="shared" si="9"/>
        <v>0</v>
      </c>
      <c r="N25" s="5"/>
      <c r="O25" s="14"/>
    </row>
    <row r="26" spans="1:15" x14ac:dyDescent="0.3">
      <c r="A26" s="2"/>
      <c r="B26" s="2"/>
      <c r="C26" s="2"/>
      <c r="D26" s="2"/>
      <c r="E26" s="2"/>
      <c r="F26" s="2"/>
      <c r="G26" s="5">
        <v>2</v>
      </c>
      <c r="H26" s="5">
        <f t="shared" si="6"/>
        <v>0</v>
      </c>
      <c r="I26" s="4">
        <f t="shared" si="7"/>
        <v>0</v>
      </c>
      <c r="J26" s="2"/>
      <c r="K26" s="5">
        <v>2</v>
      </c>
      <c r="L26" s="5">
        <f t="shared" si="8"/>
        <v>0</v>
      </c>
      <c r="M26" s="4">
        <f t="shared" si="9"/>
        <v>0</v>
      </c>
      <c r="N26" s="5"/>
      <c r="O26" s="14"/>
    </row>
    <row r="27" spans="1:15" x14ac:dyDescent="0.3">
      <c r="A27" s="2"/>
      <c r="B27" s="2"/>
      <c r="C27" s="2"/>
      <c r="D27" s="2"/>
      <c r="E27" s="2"/>
      <c r="F27" s="2"/>
      <c r="G27" s="5">
        <v>2</v>
      </c>
      <c r="H27" s="5">
        <f t="shared" si="6"/>
        <v>0</v>
      </c>
      <c r="I27" s="4">
        <f t="shared" si="7"/>
        <v>0</v>
      </c>
      <c r="J27" s="2"/>
      <c r="K27" s="5">
        <v>2</v>
      </c>
      <c r="L27" s="5">
        <f t="shared" si="8"/>
        <v>0</v>
      </c>
      <c r="M27" s="4">
        <f t="shared" si="9"/>
        <v>0</v>
      </c>
      <c r="N27" s="5"/>
      <c r="O27" s="14"/>
    </row>
    <row r="28" spans="1:15" x14ac:dyDescent="0.3">
      <c r="A28" s="2"/>
      <c r="B28" s="2"/>
      <c r="C28" s="2"/>
      <c r="D28" s="2"/>
      <c r="E28" s="2"/>
      <c r="F28" s="2"/>
      <c r="G28" s="5">
        <v>2</v>
      </c>
      <c r="H28" s="5">
        <f t="shared" si="6"/>
        <v>0</v>
      </c>
      <c r="I28" s="4">
        <f t="shared" si="7"/>
        <v>0</v>
      </c>
      <c r="J28" s="2"/>
      <c r="K28" s="5">
        <v>2</v>
      </c>
      <c r="L28" s="5">
        <f t="shared" si="8"/>
        <v>0</v>
      </c>
      <c r="M28" s="4">
        <f t="shared" si="9"/>
        <v>0</v>
      </c>
      <c r="N28" s="5"/>
      <c r="O28" s="14"/>
    </row>
    <row r="29" spans="1:15" x14ac:dyDescent="0.3">
      <c r="A29" s="2"/>
      <c r="B29" s="2"/>
      <c r="C29" s="2"/>
      <c r="D29" s="2"/>
      <c r="E29" s="2"/>
      <c r="F29" s="2"/>
      <c r="G29" s="5">
        <v>2</v>
      </c>
      <c r="H29" s="5">
        <f t="shared" si="6"/>
        <v>0</v>
      </c>
      <c r="I29" s="4">
        <f t="shared" si="7"/>
        <v>0</v>
      </c>
      <c r="J29" s="2"/>
      <c r="K29" s="5">
        <v>2</v>
      </c>
      <c r="L29" s="5">
        <f t="shared" si="8"/>
        <v>0</v>
      </c>
      <c r="M29" s="4">
        <f t="shared" si="9"/>
        <v>0</v>
      </c>
      <c r="N29" s="5"/>
      <c r="O29" s="14"/>
    </row>
    <row r="30" spans="1:15" x14ac:dyDescent="0.3">
      <c r="A30" s="2"/>
      <c r="B30" s="2"/>
      <c r="C30" s="2"/>
      <c r="D30" s="2"/>
      <c r="E30" s="2"/>
      <c r="F30" s="2"/>
      <c r="G30" s="5">
        <v>2</v>
      </c>
      <c r="H30" s="5">
        <f t="shared" si="6"/>
        <v>0</v>
      </c>
      <c r="I30" s="4">
        <f t="shared" si="7"/>
        <v>0</v>
      </c>
      <c r="J30" s="2"/>
      <c r="K30" s="5">
        <v>2</v>
      </c>
      <c r="L30" s="5">
        <f t="shared" si="8"/>
        <v>0</v>
      </c>
      <c r="M30" s="4">
        <f t="shared" si="9"/>
        <v>0</v>
      </c>
      <c r="N30" s="5"/>
      <c r="O30" s="14"/>
    </row>
    <row r="31" spans="1:15" x14ac:dyDescent="0.3">
      <c r="A31" s="2"/>
      <c r="B31" s="2"/>
      <c r="C31" s="2"/>
      <c r="D31" s="2"/>
      <c r="E31" s="2"/>
      <c r="F31" s="2"/>
      <c r="G31" s="5">
        <v>2</v>
      </c>
      <c r="H31" s="5">
        <f t="shared" si="6"/>
        <v>0</v>
      </c>
      <c r="I31" s="4">
        <f t="shared" si="7"/>
        <v>0</v>
      </c>
      <c r="J31" s="2"/>
      <c r="K31" s="5">
        <v>2</v>
      </c>
      <c r="L31" s="5">
        <f t="shared" si="8"/>
        <v>0</v>
      </c>
      <c r="M31" s="4">
        <f t="shared" si="9"/>
        <v>0</v>
      </c>
      <c r="N31" s="5"/>
      <c r="O31" s="14"/>
    </row>
    <row r="32" spans="1:15" x14ac:dyDescent="0.3">
      <c r="A32" s="2"/>
      <c r="B32" s="2"/>
      <c r="C32" s="2"/>
      <c r="D32" s="2"/>
      <c r="E32" s="2"/>
      <c r="F32" s="2"/>
      <c r="G32" s="5">
        <v>2</v>
      </c>
      <c r="H32" s="5">
        <f t="shared" si="6"/>
        <v>0</v>
      </c>
      <c r="I32" s="4">
        <f t="shared" si="7"/>
        <v>0</v>
      </c>
      <c r="J32" s="2"/>
      <c r="K32" s="5">
        <v>2</v>
      </c>
      <c r="L32" s="5">
        <f t="shared" si="8"/>
        <v>0</v>
      </c>
      <c r="M32" s="4">
        <f t="shared" si="9"/>
        <v>0</v>
      </c>
      <c r="N32" s="5"/>
      <c r="O32" s="14"/>
    </row>
    <row r="33" spans="1:15" x14ac:dyDescent="0.3">
      <c r="A33" s="2"/>
      <c r="B33" s="2"/>
      <c r="C33" s="2"/>
      <c r="D33" s="2"/>
      <c r="E33" s="2"/>
      <c r="F33" s="2"/>
      <c r="G33" s="5"/>
      <c r="H33" s="5"/>
      <c r="I33" s="4">
        <f>SUM(I21:I32)</f>
        <v>44</v>
      </c>
      <c r="J33" s="12"/>
      <c r="K33" s="5"/>
      <c r="L33" s="5"/>
      <c r="M33" s="4">
        <f>SUM(M21:M32)</f>
        <v>30</v>
      </c>
      <c r="N33" s="2"/>
      <c r="O33" s="15"/>
    </row>
  </sheetData>
  <mergeCells count="3">
    <mergeCell ref="H2:J2"/>
    <mergeCell ref="H20:J20"/>
    <mergeCell ref="H17:J17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view="pageBreakPreview" zoomScale="115" zoomScaleNormal="100" zoomScaleSheetLayoutView="115" workbookViewId="0">
      <selection activeCell="O11" sqref="O11"/>
    </sheetView>
  </sheetViews>
  <sheetFormatPr defaultRowHeight="14.4" x14ac:dyDescent="0.3"/>
  <cols>
    <col min="1" max="1" width="14.5546875" style="1" bestFit="1" customWidth="1"/>
    <col min="2" max="16384" width="8.88671875" style="1"/>
  </cols>
  <sheetData>
    <row r="1" spans="1:16" x14ac:dyDescent="0.3">
      <c r="G1" s="1" t="s">
        <v>10</v>
      </c>
      <c r="L1" s="1" t="s">
        <v>10</v>
      </c>
      <c r="P1" s="1" t="s">
        <v>10</v>
      </c>
    </row>
    <row r="2" spans="1:16" x14ac:dyDescent="0.3">
      <c r="A2" s="16" t="s">
        <v>12</v>
      </c>
      <c r="B2" s="16">
        <v>1</v>
      </c>
      <c r="C2" s="26">
        <f>J11</f>
        <v>36</v>
      </c>
      <c r="D2" s="16">
        <v>158.12</v>
      </c>
      <c r="E2" s="27">
        <f>C2*D2</f>
        <v>5692.32</v>
      </c>
      <c r="F2" s="16"/>
      <c r="G2" s="20">
        <v>1</v>
      </c>
      <c r="H2" s="38" t="str">
        <f>A2</f>
        <v>BOX CUTTING</v>
      </c>
      <c r="I2" s="38"/>
      <c r="J2" s="38"/>
      <c r="K2" s="16"/>
      <c r="L2" s="20">
        <v>6</v>
      </c>
      <c r="M2" s="39" t="str">
        <f>A7</f>
        <v>1:02:4...</v>
      </c>
      <c r="N2" s="38"/>
      <c r="O2" s="38"/>
      <c r="P2" s="20">
        <v>7</v>
      </c>
    </row>
    <row r="3" spans="1:16" x14ac:dyDescent="0.3">
      <c r="A3" s="16" t="s">
        <v>13</v>
      </c>
      <c r="B3" s="16">
        <v>2</v>
      </c>
      <c r="C3" s="27">
        <f>L17</f>
        <v>16.5</v>
      </c>
      <c r="D3" s="16">
        <v>684.6</v>
      </c>
      <c r="E3" s="27">
        <f t="shared" ref="E3:E9" si="0">C3*D3</f>
        <v>11295.9</v>
      </c>
      <c r="F3" s="16"/>
      <c r="G3" s="22">
        <v>40</v>
      </c>
      <c r="H3" s="23">
        <v>3</v>
      </c>
      <c r="I3" s="22">
        <v>0.3</v>
      </c>
      <c r="J3" s="23">
        <f>G3*H3*I3</f>
        <v>36</v>
      </c>
      <c r="K3" s="16"/>
      <c r="L3" s="28">
        <f>G3</f>
        <v>40</v>
      </c>
      <c r="M3" s="29">
        <f>H3</f>
        <v>3</v>
      </c>
      <c r="N3" s="28">
        <v>0.1</v>
      </c>
      <c r="O3" s="29">
        <f>L3*M3*N3</f>
        <v>12</v>
      </c>
      <c r="P3" s="29">
        <f>L3*M3</f>
        <v>120</v>
      </c>
    </row>
    <row r="4" spans="1:16" x14ac:dyDescent="0.3">
      <c r="A4" s="16" t="s">
        <v>9</v>
      </c>
      <c r="B4" s="16">
        <v>3</v>
      </c>
      <c r="C4" s="27">
        <f>L20</f>
        <v>3</v>
      </c>
      <c r="D4" s="16">
        <v>173.51</v>
      </c>
      <c r="E4" s="27">
        <f t="shared" si="0"/>
        <v>520.53</v>
      </c>
      <c r="F4" s="16"/>
      <c r="G4" s="22">
        <v>0</v>
      </c>
      <c r="H4" s="23">
        <v>0</v>
      </c>
      <c r="I4" s="22">
        <f t="shared" ref="I4:I9" si="1">I3</f>
        <v>0.3</v>
      </c>
      <c r="J4" s="23">
        <f>G4*H4*I4</f>
        <v>0</v>
      </c>
      <c r="K4" s="16"/>
      <c r="L4" s="28">
        <f t="shared" ref="L4:M10" si="2">G4</f>
        <v>0</v>
      </c>
      <c r="M4" s="29">
        <f>H4</f>
        <v>0</v>
      </c>
      <c r="N4" s="28">
        <f t="shared" ref="N4:N10" si="3">N3</f>
        <v>0.1</v>
      </c>
      <c r="O4" s="29">
        <f t="shared" ref="O4:O10" si="4">L4*M4*N4</f>
        <v>0</v>
      </c>
      <c r="P4" s="29">
        <f t="shared" ref="P4:P10" si="5">L4*M4</f>
        <v>0</v>
      </c>
    </row>
    <row r="5" spans="1:16" x14ac:dyDescent="0.3">
      <c r="A5" s="16" t="s">
        <v>15</v>
      </c>
      <c r="B5" s="16">
        <v>4</v>
      </c>
      <c r="C5" s="27">
        <f>C3</f>
        <v>16.5</v>
      </c>
      <c r="D5" s="16">
        <v>249.75</v>
      </c>
      <c r="E5" s="27">
        <f t="shared" si="0"/>
        <v>4120.875</v>
      </c>
      <c r="F5" s="16"/>
      <c r="G5" s="22">
        <v>0</v>
      </c>
      <c r="H5" s="23">
        <v>0</v>
      </c>
      <c r="I5" s="22">
        <f t="shared" si="1"/>
        <v>0.3</v>
      </c>
      <c r="J5" s="23">
        <f>G5*H5*I5</f>
        <v>0</v>
      </c>
      <c r="K5" s="16"/>
      <c r="L5" s="28">
        <f t="shared" si="2"/>
        <v>0</v>
      </c>
      <c r="M5" s="29">
        <f>H5</f>
        <v>0</v>
      </c>
      <c r="N5" s="28">
        <f t="shared" si="3"/>
        <v>0.1</v>
      </c>
      <c r="O5" s="29">
        <f t="shared" si="4"/>
        <v>0</v>
      </c>
      <c r="P5" s="28">
        <f t="shared" si="5"/>
        <v>0</v>
      </c>
    </row>
    <row r="6" spans="1:16" x14ac:dyDescent="0.3">
      <c r="A6" s="16" t="s">
        <v>14</v>
      </c>
      <c r="B6" s="16">
        <v>5</v>
      </c>
      <c r="C6" s="27">
        <f>C4</f>
        <v>3</v>
      </c>
      <c r="D6" s="16">
        <v>147.47</v>
      </c>
      <c r="E6" s="27">
        <f t="shared" si="0"/>
        <v>442.40999999999997</v>
      </c>
      <c r="F6" s="20"/>
      <c r="G6" s="22">
        <v>0</v>
      </c>
      <c r="H6" s="22">
        <v>0</v>
      </c>
      <c r="I6" s="22">
        <f t="shared" si="1"/>
        <v>0.3</v>
      </c>
      <c r="J6" s="23">
        <f>G6*H5*I6</f>
        <v>0</v>
      </c>
      <c r="K6" s="16"/>
      <c r="L6" s="28">
        <f t="shared" si="2"/>
        <v>0</v>
      </c>
      <c r="M6" s="28">
        <f>H6</f>
        <v>0</v>
      </c>
      <c r="N6" s="28">
        <f t="shared" si="3"/>
        <v>0.1</v>
      </c>
      <c r="O6" s="29">
        <f t="shared" si="4"/>
        <v>0</v>
      </c>
      <c r="P6" s="28">
        <f t="shared" si="5"/>
        <v>0</v>
      </c>
    </row>
    <row r="7" spans="1:16" x14ac:dyDescent="0.3">
      <c r="A7" s="18" t="s">
        <v>16</v>
      </c>
      <c r="B7" s="16">
        <v>6</v>
      </c>
      <c r="C7" s="27">
        <f>O11</f>
        <v>12</v>
      </c>
      <c r="D7" s="16">
        <v>4915.01</v>
      </c>
      <c r="E7" s="27">
        <f t="shared" si="0"/>
        <v>58980.12</v>
      </c>
      <c r="F7" s="20"/>
      <c r="G7" s="22">
        <v>0</v>
      </c>
      <c r="H7" s="22">
        <v>0</v>
      </c>
      <c r="I7" s="22">
        <f t="shared" si="1"/>
        <v>0.3</v>
      </c>
      <c r="J7" s="22">
        <f>G7*H6*I7</f>
        <v>0</v>
      </c>
      <c r="K7" s="16"/>
      <c r="L7" s="28">
        <f t="shared" si="2"/>
        <v>0</v>
      </c>
      <c r="M7" s="28">
        <f>H7</f>
        <v>0</v>
      </c>
      <c r="N7" s="28">
        <f t="shared" si="3"/>
        <v>0.1</v>
      </c>
      <c r="O7" s="28">
        <f t="shared" si="4"/>
        <v>0</v>
      </c>
      <c r="P7" s="28">
        <f t="shared" si="5"/>
        <v>0</v>
      </c>
    </row>
    <row r="8" spans="1:16" x14ac:dyDescent="0.3">
      <c r="A8" s="16" t="s">
        <v>17</v>
      </c>
      <c r="B8" s="16">
        <v>7</v>
      </c>
      <c r="C8" s="27">
        <v>0</v>
      </c>
      <c r="D8" s="16">
        <v>2656</v>
      </c>
      <c r="E8" s="27">
        <f t="shared" si="0"/>
        <v>0</v>
      </c>
      <c r="F8" s="20"/>
      <c r="G8" s="22">
        <v>0</v>
      </c>
      <c r="H8" s="24">
        <v>0</v>
      </c>
      <c r="I8" s="22">
        <f t="shared" si="1"/>
        <v>0.3</v>
      </c>
      <c r="J8" s="22">
        <f>G8*H7*I8</f>
        <v>0</v>
      </c>
      <c r="K8" s="16"/>
      <c r="L8" s="28">
        <f t="shared" si="2"/>
        <v>0</v>
      </c>
      <c r="M8" s="28">
        <f>H8</f>
        <v>0</v>
      </c>
      <c r="N8" s="28">
        <f t="shared" si="3"/>
        <v>0.1</v>
      </c>
      <c r="O8" s="28">
        <f t="shared" si="4"/>
        <v>0</v>
      </c>
      <c r="P8" s="28">
        <f t="shared" si="5"/>
        <v>0</v>
      </c>
    </row>
    <row r="9" spans="1:16" x14ac:dyDescent="0.3">
      <c r="A9" s="16" t="s">
        <v>4</v>
      </c>
      <c r="B9" s="16">
        <v>8</v>
      </c>
      <c r="C9" s="27">
        <v>0</v>
      </c>
      <c r="D9" s="16">
        <v>306.14</v>
      </c>
      <c r="E9" s="27">
        <f t="shared" si="0"/>
        <v>0</v>
      </c>
      <c r="F9" s="20"/>
      <c r="G9" s="22">
        <v>0</v>
      </c>
      <c r="H9" s="22">
        <v>0</v>
      </c>
      <c r="I9" s="22">
        <f t="shared" si="1"/>
        <v>0.3</v>
      </c>
      <c r="J9" s="22">
        <f t="shared" ref="J9:J10" si="6">G9*H9*I9</f>
        <v>0</v>
      </c>
      <c r="K9" s="16"/>
      <c r="L9" s="28">
        <f t="shared" si="2"/>
        <v>0</v>
      </c>
      <c r="M9" s="28">
        <f t="shared" si="2"/>
        <v>0</v>
      </c>
      <c r="N9" s="28">
        <f t="shared" si="3"/>
        <v>0.1</v>
      </c>
      <c r="O9" s="28">
        <f t="shared" si="4"/>
        <v>0</v>
      </c>
      <c r="P9" s="28">
        <f t="shared" si="5"/>
        <v>0</v>
      </c>
    </row>
    <row r="10" spans="1:16" x14ac:dyDescent="0.3">
      <c r="A10" s="16"/>
      <c r="B10" s="16"/>
      <c r="C10" s="16"/>
      <c r="D10" s="16"/>
      <c r="E10" s="27">
        <f>SUM(E2:E9)</f>
        <v>81052.154999999999</v>
      </c>
      <c r="F10" s="20"/>
      <c r="G10" s="22">
        <v>0</v>
      </c>
      <c r="H10" s="22">
        <v>0</v>
      </c>
      <c r="I10" s="22">
        <v>0.3</v>
      </c>
      <c r="J10" s="22">
        <f t="shared" si="6"/>
        <v>0</v>
      </c>
      <c r="K10" s="16"/>
      <c r="L10" s="28">
        <f t="shared" si="2"/>
        <v>0</v>
      </c>
      <c r="M10" s="28">
        <f t="shared" si="2"/>
        <v>0</v>
      </c>
      <c r="N10" s="28">
        <f t="shared" si="3"/>
        <v>0.1</v>
      </c>
      <c r="O10" s="28">
        <f t="shared" si="4"/>
        <v>0</v>
      </c>
      <c r="P10" s="28">
        <f t="shared" si="5"/>
        <v>0</v>
      </c>
    </row>
    <row r="11" spans="1:16" x14ac:dyDescent="0.3">
      <c r="A11" s="16"/>
      <c r="B11" s="16"/>
      <c r="C11" s="16" t="s">
        <v>18</v>
      </c>
      <c r="D11" s="19">
        <v>0.18</v>
      </c>
      <c r="E11" s="27">
        <f>E10*18%</f>
        <v>14589.3879</v>
      </c>
      <c r="F11" s="16"/>
      <c r="G11" s="22"/>
      <c r="H11" s="22"/>
      <c r="I11" s="22"/>
      <c r="J11" s="25">
        <f>SUM(J3:J10)</f>
        <v>36</v>
      </c>
      <c r="K11" s="16"/>
      <c r="L11" s="28"/>
      <c r="M11" s="28"/>
      <c r="N11" s="28"/>
      <c r="O11" s="29">
        <f>SUM(O3:O10)</f>
        <v>12</v>
      </c>
      <c r="P11" s="29">
        <f>SUM(P3:P10)</f>
        <v>120</v>
      </c>
    </row>
    <row r="12" spans="1:16" x14ac:dyDescent="0.3">
      <c r="A12" s="16"/>
      <c r="B12" s="16"/>
      <c r="C12" s="16"/>
      <c r="D12" s="16" t="s">
        <v>19</v>
      </c>
      <c r="E12" s="27">
        <f>E10+E11</f>
        <v>95641.5429</v>
      </c>
      <c r="F12" s="16"/>
      <c r="G12" s="16"/>
      <c r="H12" s="16"/>
      <c r="I12" s="16"/>
      <c r="J12" s="16"/>
      <c r="K12" s="16"/>
      <c r="L12" s="20"/>
      <c r="M12" s="20"/>
      <c r="N12" s="20"/>
      <c r="O12" s="20"/>
      <c r="P12" s="20"/>
    </row>
    <row r="13" spans="1:16" x14ac:dyDescent="0.3">
      <c r="A13" s="16"/>
      <c r="B13" s="16"/>
      <c r="C13" s="16"/>
      <c r="D13" s="16" t="s">
        <v>20</v>
      </c>
      <c r="E13" s="27">
        <v>400000</v>
      </c>
      <c r="F13" s="1" t="s">
        <v>10</v>
      </c>
      <c r="G13" s="20">
        <v>2</v>
      </c>
      <c r="H13" s="20">
        <v>4</v>
      </c>
      <c r="I13" s="38" t="str">
        <f>A3</f>
        <v xml:space="preserve">40 TO 63 </v>
      </c>
      <c r="J13" s="38"/>
      <c r="K13" s="16"/>
      <c r="L13" s="16"/>
      <c r="M13" s="16"/>
      <c r="N13" s="16"/>
      <c r="O13" s="16"/>
      <c r="P13" s="16"/>
    </row>
    <row r="14" spans="1:16" x14ac:dyDescent="0.3">
      <c r="A14" s="16"/>
      <c r="B14" s="16"/>
      <c r="C14" s="16"/>
      <c r="D14" s="16" t="s">
        <v>21</v>
      </c>
      <c r="E14" s="28">
        <f>E13-E12</f>
        <v>304358.4571</v>
      </c>
      <c r="F14" s="16"/>
      <c r="G14" s="29">
        <f>P11</f>
        <v>120</v>
      </c>
      <c r="H14" s="28"/>
      <c r="I14" s="28">
        <v>0.12</v>
      </c>
      <c r="J14" s="29">
        <f>G14*I14</f>
        <v>14.399999999999999</v>
      </c>
      <c r="K14" s="16"/>
      <c r="L14" s="16"/>
      <c r="M14" s="16"/>
      <c r="N14" s="16"/>
      <c r="O14" s="16"/>
      <c r="P14" s="16"/>
    </row>
    <row r="15" spans="1:16" x14ac:dyDescent="0.3">
      <c r="A15" s="16"/>
      <c r="B15" s="16"/>
      <c r="C15" s="16"/>
      <c r="D15" s="16"/>
      <c r="E15" s="16"/>
      <c r="F15" s="16"/>
      <c r="G15" s="20"/>
      <c r="H15" s="20" t="s">
        <v>22</v>
      </c>
      <c r="I15" s="30">
        <v>0.15</v>
      </c>
      <c r="J15" s="21">
        <f>J14*I15</f>
        <v>2.1599999999999997</v>
      </c>
      <c r="K15" s="16"/>
      <c r="L15" s="16"/>
      <c r="M15" s="16"/>
      <c r="N15" s="16"/>
      <c r="O15" s="16"/>
      <c r="P15" s="16"/>
    </row>
    <row r="16" spans="1:16" x14ac:dyDescent="0.3">
      <c r="A16" s="16"/>
      <c r="B16" s="16"/>
      <c r="C16" s="16"/>
      <c r="D16" s="16"/>
      <c r="E16" s="16"/>
      <c r="F16" s="16"/>
      <c r="G16" s="20"/>
      <c r="H16" s="20"/>
      <c r="I16" s="20" t="s">
        <v>23</v>
      </c>
      <c r="J16" s="21">
        <f>J14+J15</f>
        <v>16.559999999999999</v>
      </c>
      <c r="K16" s="16"/>
      <c r="L16" s="16"/>
      <c r="M16" s="16"/>
      <c r="N16" s="16"/>
      <c r="O16" s="16"/>
      <c r="P16" s="16"/>
    </row>
    <row r="17" spans="1:16" x14ac:dyDescent="0.3">
      <c r="A17" s="16"/>
      <c r="B17" s="16"/>
      <c r="C17" s="16"/>
      <c r="D17" s="16"/>
      <c r="E17" s="16"/>
      <c r="F17" s="16" t="s">
        <v>11</v>
      </c>
      <c r="G17" s="20">
        <f>J16/1.5</f>
        <v>11.04</v>
      </c>
      <c r="H17" s="20">
        <f>ROUNDDOWN(G17,0)</f>
        <v>11</v>
      </c>
      <c r="I17" s="20">
        <v>2</v>
      </c>
      <c r="J17" s="20">
        <v>1.5</v>
      </c>
      <c r="K17" s="16">
        <v>0.5</v>
      </c>
      <c r="L17" s="16">
        <f>H17*I17*J17*K17</f>
        <v>16.5</v>
      </c>
      <c r="M17" s="16"/>
      <c r="N17" s="16"/>
      <c r="O17" s="16"/>
      <c r="P17" s="16"/>
    </row>
    <row r="18" spans="1:16" x14ac:dyDescent="0.3">
      <c r="A18" s="16"/>
      <c r="B18" s="16"/>
      <c r="C18" s="16"/>
      <c r="D18" s="16"/>
      <c r="E18" s="16"/>
      <c r="F18" s="1" t="s">
        <v>10</v>
      </c>
      <c r="G18" s="20">
        <v>3</v>
      </c>
      <c r="H18" s="20">
        <v>5</v>
      </c>
      <c r="I18" s="38" t="s">
        <v>9</v>
      </c>
      <c r="J18" s="38"/>
      <c r="K18" s="16"/>
      <c r="L18" s="16"/>
      <c r="M18" s="16"/>
      <c r="N18" s="16"/>
      <c r="O18" s="16"/>
      <c r="P18" s="16"/>
    </row>
    <row r="19" spans="1:16" x14ac:dyDescent="0.3">
      <c r="A19" s="16"/>
      <c r="B19" s="16"/>
      <c r="C19" s="16"/>
      <c r="D19" s="16"/>
      <c r="E19" s="16"/>
      <c r="F19" s="16"/>
      <c r="G19" s="16" t="s">
        <v>24</v>
      </c>
      <c r="H19" s="16">
        <v>2</v>
      </c>
      <c r="I19" s="31">
        <v>0.25</v>
      </c>
      <c r="J19" s="17">
        <f>J16*I19</f>
        <v>4.1399999999999997</v>
      </c>
      <c r="K19" s="16"/>
      <c r="L19" s="16"/>
      <c r="M19" s="16"/>
      <c r="N19" s="16"/>
      <c r="O19" s="16"/>
      <c r="P19" s="16"/>
    </row>
    <row r="20" spans="1:16" x14ac:dyDescent="0.3">
      <c r="A20" s="16"/>
      <c r="B20" s="16"/>
      <c r="C20" s="16"/>
      <c r="D20" s="16"/>
      <c r="E20" s="16"/>
      <c r="F20" s="16" t="s">
        <v>11</v>
      </c>
      <c r="G20" s="20">
        <f>J19/1.5</f>
        <v>2.76</v>
      </c>
      <c r="H20" s="20">
        <f>ROUNDDOWN(G20,0)</f>
        <v>2</v>
      </c>
      <c r="I20" s="20">
        <v>2</v>
      </c>
      <c r="J20" s="20">
        <v>1.5</v>
      </c>
      <c r="K20" s="16">
        <v>0.5</v>
      </c>
      <c r="L20" s="16">
        <f>H20*I20*J20*K20</f>
        <v>3</v>
      </c>
      <c r="M20" s="16"/>
      <c r="N20" s="16"/>
      <c r="O20" s="16"/>
      <c r="P20" s="16"/>
    </row>
  </sheetData>
  <mergeCells count="4">
    <mergeCell ref="H2:J2"/>
    <mergeCell ref="M2:O2"/>
    <mergeCell ref="I13:J13"/>
    <mergeCell ref="I18:J18"/>
  </mergeCells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mb-paver</vt:lpstr>
      <vt:lpstr>mb-cc road</vt:lpstr>
      <vt:lpstr>'mb-cc road'!Print_Area</vt:lpstr>
      <vt:lpstr>'mb-paver'!Print_Area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2024-08-28T10:57:51Z</cp:lastPrinted>
  <dcterms:created xsi:type="dcterms:W3CDTF">2024-03-13T06:43:26Z</dcterms:created>
  <dcterms:modified xsi:type="dcterms:W3CDTF">2026-09-27T14:44:24Z</dcterms:modified>
</cp:coreProperties>
</file>