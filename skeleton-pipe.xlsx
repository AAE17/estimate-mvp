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SO+\grok-mvp\4.Pipe Line\"/>
    </mc:Choice>
  </mc:AlternateContent>
  <bookViews>
    <workbookView xWindow="-120" yWindow="-120" windowWidth="29040" windowHeight="15720" activeTab="3"/>
  </bookViews>
  <sheets>
    <sheet name="Estimate" sheetId="30" r:id="rId1"/>
    <sheet name="Abstract" sheetId="9" r:id="rId2"/>
    <sheet name="Measurement" sheetId="42" r:id="rId3"/>
    <sheet name="TEST-SITE" sheetId="33" r:id="rId4"/>
  </sheets>
  <externalReferences>
    <externalReference r:id="rId5"/>
  </externalReferences>
  <definedNames>
    <definedName name="_nmw1">[1]lead!$B$2</definedName>
    <definedName name="_xlnm.Print_Area" localSheetId="1">Abstract!$A$1:$F$31</definedName>
    <definedName name="_xlnm.Print_Area" localSheetId="0">Estimate!$A$1:$I$40</definedName>
    <definedName name="_xlnm.Print_Area" localSheetId="2">Measurement!$A$1:$L$42</definedName>
    <definedName name="_xlnm.Print_Area" localSheetId="3">'TEST-SITE'!$A$1:$I$36</definedName>
    <definedName name="_xlnm.Print_Titles" localSheetId="1">Abstract!$3:$3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6" i="42" l="1"/>
  <c r="E24" i="42" l="1"/>
  <c r="E23" i="42"/>
  <c r="A17" i="9"/>
  <c r="A16" i="9"/>
  <c r="A11" i="9"/>
  <c r="A10" i="9"/>
  <c r="K5" i="42"/>
  <c r="E4" i="9"/>
  <c r="K6" i="42" l="1"/>
  <c r="A4" i="9" s="1"/>
  <c r="F4" i="9" s="1"/>
  <c r="H5" i="9"/>
  <c r="I10" i="42"/>
  <c r="K10" i="42" s="1"/>
  <c r="K12" i="42"/>
  <c r="K9" i="42"/>
  <c r="K11" i="42"/>
  <c r="F27" i="9"/>
  <c r="K40" i="42"/>
  <c r="K41" i="42" s="1"/>
  <c r="A22" i="9" s="1"/>
  <c r="F22" i="9" s="1"/>
  <c r="A39" i="42"/>
  <c r="I34" i="42"/>
  <c r="I33" i="42"/>
  <c r="I32" i="42"/>
  <c r="I31" i="42"/>
  <c r="G34" i="42"/>
  <c r="G33" i="42"/>
  <c r="G32" i="42"/>
  <c r="G31" i="42"/>
  <c r="A28" i="42"/>
  <c r="A22" i="42"/>
  <c r="E20" i="42"/>
  <c r="E26" i="42" s="1"/>
  <c r="E19" i="42"/>
  <c r="E18" i="42"/>
  <c r="K18" i="42" s="1"/>
  <c r="E17" i="42"/>
  <c r="K17" i="42" s="1"/>
  <c r="C20" i="42"/>
  <c r="C26" i="42" s="1"/>
  <c r="C19" i="42"/>
  <c r="C25" i="42" s="1"/>
  <c r="C18" i="42"/>
  <c r="C24" i="42" s="1"/>
  <c r="C17" i="42"/>
  <c r="C23" i="42" s="1"/>
  <c r="A16" i="42"/>
  <c r="A8" i="42"/>
  <c r="A4" i="42"/>
  <c r="E22" i="9"/>
  <c r="K13" i="42" l="1"/>
  <c r="K14" i="42" s="1"/>
  <c r="K19" i="42"/>
  <c r="A12" i="9" s="1"/>
  <c r="E25" i="42"/>
  <c r="K34" i="42"/>
  <c r="K31" i="42"/>
  <c r="K32" i="42"/>
  <c r="F16" i="9"/>
  <c r="F10" i="9"/>
  <c r="F11" i="9"/>
  <c r="F17" i="9"/>
  <c r="F18" i="9"/>
  <c r="F12" i="9"/>
  <c r="H6" i="9"/>
  <c r="H7" i="9" s="1"/>
  <c r="K33" i="42"/>
  <c r="K26" i="42"/>
  <c r="A19" i="9" s="1"/>
  <c r="K23" i="42"/>
  <c r="K24" i="42"/>
  <c r="K25" i="42"/>
  <c r="A18" i="9" s="1"/>
  <c r="K20" i="42"/>
  <c r="A13" i="9" s="1"/>
  <c r="D29" i="30"/>
  <c r="A6" i="9" l="1"/>
  <c r="K30" i="42"/>
  <c r="F19" i="9"/>
  <c r="F13" i="9"/>
  <c r="K35" i="42"/>
  <c r="G40" i="30"/>
  <c r="A30" i="9" s="1"/>
  <c r="G36" i="33" s="1"/>
  <c r="G14" i="33"/>
  <c r="G13" i="33"/>
  <c r="G12" i="33"/>
  <c r="G11" i="33"/>
  <c r="G10" i="33"/>
  <c r="G9" i="33"/>
  <c r="G8" i="33"/>
  <c r="G7" i="33"/>
  <c r="G6" i="33"/>
  <c r="G5" i="33"/>
  <c r="E20" i="9"/>
  <c r="A2" i="9"/>
  <c r="A2" i="42" s="1"/>
  <c r="C29" i="30"/>
  <c r="C2" i="42"/>
  <c r="E6" i="9"/>
  <c r="C2" i="9"/>
  <c r="B1" i="33" s="1"/>
  <c r="G15" i="33" l="1"/>
  <c r="D21" i="9" s="1"/>
  <c r="A1" i="33"/>
  <c r="K37" i="42" l="1"/>
  <c r="A20" i="9" s="1"/>
  <c r="F20" i="9" s="1"/>
  <c r="F6" i="9" l="1"/>
  <c r="F24" i="9" l="1"/>
  <c r="F25" i="9" l="1"/>
  <c r="F26" i="9" s="1"/>
</calcChain>
</file>

<file path=xl/sharedStrings.xml><?xml version="1.0" encoding="utf-8"?>
<sst xmlns="http://schemas.openxmlformats.org/spreadsheetml/2006/main" count="252" uniqueCount="107">
  <si>
    <t xml:space="preserve">Estimate checked by:  </t>
  </si>
  <si>
    <t>QTY.</t>
  </si>
  <si>
    <t>ITEM</t>
  </si>
  <si>
    <t>PER</t>
  </si>
  <si>
    <t>AMOUNT</t>
  </si>
  <si>
    <t>1. Division</t>
  </si>
  <si>
    <t>2. Sub-Division</t>
  </si>
  <si>
    <t>3. Sanctioned Estimate No:</t>
  </si>
  <si>
    <t>4. Fund Head:</t>
  </si>
  <si>
    <t>5. Major Head:</t>
  </si>
  <si>
    <t>6. Minor Head:</t>
  </si>
  <si>
    <t>7. Serviceable Head:</t>
  </si>
  <si>
    <t>8. Departmental Head:</t>
  </si>
  <si>
    <t xml:space="preserve"> Amounting to Rs.</t>
  </si>
  <si>
    <t xml:space="preserve">Administrative approval No.:   </t>
  </si>
  <si>
    <t xml:space="preserve"> Date :</t>
  </si>
  <si>
    <t>&amp; Technically sanctioned under No.:</t>
  </si>
  <si>
    <t xml:space="preserve"> Date:</t>
  </si>
  <si>
    <t>Call or Authority:</t>
  </si>
  <si>
    <t>Amount</t>
  </si>
  <si>
    <t>Say</t>
  </si>
  <si>
    <t>Total</t>
  </si>
  <si>
    <t>Estimate prepared by</t>
  </si>
  <si>
    <t>:</t>
  </si>
  <si>
    <t>Say  Rs.</t>
  </si>
  <si>
    <t>x</t>
  </si>
  <si>
    <t>Rmt</t>
  </si>
  <si>
    <t>Cum</t>
  </si>
  <si>
    <t>Smt</t>
  </si>
  <si>
    <t>UNIT</t>
  </si>
  <si>
    <t>No</t>
  </si>
  <si>
    <t xml:space="preserve"> RATE INCL.1% LABOUR CESS</t>
  </si>
  <si>
    <t xml:space="preserve">MEASUREMENT  SHEET </t>
  </si>
  <si>
    <t>ABSTRACT SHEET</t>
  </si>
  <si>
    <t>=</t>
  </si>
  <si>
    <t>Cmt</t>
  </si>
  <si>
    <t>A.A.E.</t>
  </si>
  <si>
    <t>TALUKA PANCHAYAT</t>
  </si>
  <si>
    <t xml:space="preserve">SR. NO. </t>
  </si>
  <si>
    <t>ADD. ASST. ENGINEER</t>
  </si>
  <si>
    <t xml:space="preserve">કામ નું નામ :- </t>
  </si>
  <si>
    <t>Sr. No</t>
  </si>
  <si>
    <t>Item</t>
  </si>
  <si>
    <t>No of testing required</t>
  </si>
  <si>
    <t>Approved Rate</t>
  </si>
  <si>
    <t>Bricks</t>
  </si>
  <si>
    <t>Sand</t>
  </si>
  <si>
    <t>Cement</t>
  </si>
  <si>
    <t>Cube</t>
  </si>
  <si>
    <t>B.T.Kapchi</t>
  </si>
  <si>
    <t>Metal</t>
  </si>
  <si>
    <t>Paving Blocks</t>
  </si>
  <si>
    <t>Steel</t>
  </si>
  <si>
    <t>Pipe Line</t>
  </si>
  <si>
    <t xml:space="preserve">Gutter Pipe </t>
  </si>
  <si>
    <t>Add 18% GST</t>
  </si>
  <si>
    <t>SITE PLAN</t>
  </si>
  <si>
    <t>૧૫ % વિવેકાધીન વર્ષ ૨૦૨૬-૨૭.</t>
  </si>
  <si>
    <t>જા.નંબર/વશી-                       તા.       /૦૩/૨૦૨૬.</t>
  </si>
  <si>
    <t>ESTIMATE</t>
  </si>
  <si>
    <t>R &amp; B (P) DIV.</t>
  </si>
  <si>
    <t>JILLA PANCHAYAT</t>
  </si>
  <si>
    <t>R &amp; B (P) SUB DIV.</t>
  </si>
  <si>
    <t xml:space="preserve">DEE ATVT PRANT </t>
  </si>
  <si>
    <t>NANI SINCHAI (P) SUB DIV</t>
  </si>
  <si>
    <t xml:space="preserve">Estimated framed in the office of the Taluka Development Officer, Taluka Panchyat,  </t>
  </si>
  <si>
    <t>for the expenses that will be incurred in the Work Of</t>
  </si>
  <si>
    <t>Taluka Panchayat</t>
  </si>
  <si>
    <t>G.W.S.S.B.S.O.R. P:- 39 Sec 1&amp;2  (B)  I.No. 11.b</t>
  </si>
  <si>
    <t xml:space="preserve"> ( R &amp; B  Sor P. 130 C No 26087 + 1% labour cess = 303.11+3.03=306.14)   </t>
  </si>
  <si>
    <t>L</t>
  </si>
  <si>
    <t>W</t>
  </si>
  <si>
    <t>D</t>
  </si>
  <si>
    <t>X</t>
  </si>
  <si>
    <t>"</t>
  </si>
  <si>
    <t>Rmt.</t>
  </si>
  <si>
    <t>Deduction</t>
  </si>
  <si>
    <t>Excavated Qty.</t>
  </si>
  <si>
    <t>Cmt.</t>
  </si>
  <si>
    <t>Total Qty</t>
  </si>
  <si>
    <t>આ કામ ઉપરોક્ત યોજના હેઠળ મંજૂર થયેલ છે. જે અનવયે સ્થળ સ્થિતિની તપાસ કરીને ગુ. પા. પૂ. અને ગટર વ્યવસ્થા બોર્ડ તેમજ મા. અને મ. વિભાગના પ્રવર્તમાન S.O.R. ના ભાવો મુજબ અંદાજપત્ર તૈયાર કરવામાં આવેલ છે. આ કમના નકશા-અંદાજમાં સ્થળ સ્થિતિ મુજબ ખોદાણ , પાઇપ પ્રોવાઈડ કરી ને ઉતારવી , ચેમ્બર , ફ્રેમ , કવર સાથે તથા તકતીની આઈટમનો સમાવેશ કરેલ છે.</t>
  </si>
  <si>
    <t xml:space="preserve">સામાન્ય વર્ણન અને સૈદ્ધાંતિક મંજૂરીની વિગતો. </t>
  </si>
  <si>
    <t>SCHEUDULE OF TESTING</t>
  </si>
  <si>
    <t>VASO</t>
  </si>
  <si>
    <t>NADIAD</t>
  </si>
  <si>
    <t>Shree A.G.SUTHAR. A.A.E.</t>
  </si>
  <si>
    <t>ITEM NO 1 : Dismantling the exsting surface incl. disposing off the dismentalled material and stacking the useful materials directed</t>
  </si>
  <si>
    <t>(S.O.R.GWSB P.NO.40 / I.NO.15 )</t>
  </si>
  <si>
    <t>(S.O.R.GWSB P.NO.17 / I.NO.1-B)</t>
  </si>
  <si>
    <t>(S.O.R.GWSB P.NO.41 / I.NO.10)</t>
  </si>
  <si>
    <t>Item No-2 Excavation for pipe line trenches including all safty provision using site rails stacking excavated stuff up to lead 90mt.clearing the site etc.complete. For lift &amp; strata as specified.(a) in all sort of soil &amp; soft murrum up to 1.5mt. Depth.</t>
  </si>
  <si>
    <t>Item No-3 Providing &amp; Supplying standard length ISI Mark regid unplastisied  PVC Pipe suitable for potable water with ringfit joint inclunding cost of rings, as per IS specification no. 4985/1988 inclunding all local and central taxes, transportation, frelenght charges, octrol, inspection charges, loading unloading, conveyance to the departmental store and including cost of jointing meterial etc. complate. ( with Excise Duty)</t>
  </si>
  <si>
    <t>Item No-4 Lowering ,Laying &amp; Jointing PVC pipes &amp; specials including cost of conveyance from store to site of work including cost of labour, material except cost of cement ,solvent giving satisfactory hydraulic testing as per IS code.</t>
  </si>
  <si>
    <t>Item No-5 Refilling the pipe line trenches including ramming watering consolidating disposal of surplus stuff as directed within radius of 3.00 km.</t>
  </si>
  <si>
    <t xml:space="preserve"> Item No-6 Providing and fixing Number plate of marble stone of requiered size set in C.M. 1:4 inch finishing &amp; engraving letters etc comp.                                      </t>
  </si>
  <si>
    <t>(1) 63 mm 6 kg / cm2</t>
  </si>
  <si>
    <t>(2) 75 mm 6 kg / cm2</t>
  </si>
  <si>
    <t>(3) 90 mm 6 kg / cm2</t>
  </si>
  <si>
    <t>(4) 110 mm 6 kg / cm2</t>
  </si>
  <si>
    <t xml:space="preserve">(3) 90 mm 6 kg / cm2 </t>
  </si>
  <si>
    <t xml:space="preserve">(4) 110 mm 6 kg / cm2 </t>
  </si>
  <si>
    <t>(1) 63 mm dia.</t>
  </si>
  <si>
    <t>(2) 75 mm dia.</t>
  </si>
  <si>
    <t>(3) 90 mm dia.</t>
  </si>
  <si>
    <t>(4) 110 mm dia.</t>
  </si>
  <si>
    <t xml:space="preserve">વસો ગામે ગામની મુખ્ય પાણી ની પાઈપ  લાઇનનું કામ. </t>
  </si>
  <si>
    <t>Net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</si>
</sst>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0.000"/>
    <numFmt numFmtId="166" formatCode="[$-7000447]0"/>
  </numFmts>
  <fonts count="39">
    <font>
      <sz val="10"/>
      <name val="Arial"/>
    </font>
    <font>
      <sz val="10"/>
      <name val="Arial"/>
    </font>
    <font>
      <sz val="10"/>
      <name val="Times New Roman"/>
      <family val="1"/>
    </font>
    <font>
      <sz val="10"/>
      <color indexed="12"/>
      <name val="Arial"/>
      <family val="2"/>
    </font>
    <font>
      <sz val="12"/>
      <color indexed="8"/>
      <name val="Arial"/>
      <family val="2"/>
    </font>
    <font>
      <sz val="10"/>
      <color indexed="8"/>
      <name val="Arial"/>
      <family val="2"/>
    </font>
    <font>
      <sz val="10"/>
      <name val="Arial"/>
      <family val="2"/>
    </font>
    <font>
      <sz val="12"/>
      <color indexed="8"/>
      <name val="Arial"/>
      <family val="2"/>
    </font>
    <font>
      <sz val="14"/>
      <color indexed="8"/>
      <name val="Arial"/>
      <family val="2"/>
    </font>
    <font>
      <sz val="12"/>
      <name val="LMG-Arun"/>
    </font>
    <font>
      <sz val="14"/>
      <name val="Gujrati Saral-1"/>
    </font>
    <font>
      <sz val="12"/>
      <name val="Times New Roman"/>
      <family val="1"/>
    </font>
    <font>
      <b/>
      <sz val="10"/>
      <name val="Verdana"/>
      <family val="2"/>
    </font>
    <font>
      <sz val="9"/>
      <color indexed="8"/>
      <name val="Arial"/>
      <family val="2"/>
    </font>
    <font>
      <sz val="14"/>
      <name val="Cambria"/>
      <family val="1"/>
      <scheme val="major"/>
    </font>
    <font>
      <sz val="10"/>
      <color theme="8"/>
      <name val="Arial"/>
      <family val="2"/>
    </font>
    <font>
      <sz val="14"/>
      <color theme="8"/>
      <name val="Arial Unicode MS"/>
      <family val="2"/>
    </font>
    <font>
      <b/>
      <sz val="12"/>
      <color theme="8"/>
      <name val="Arial"/>
      <family val="2"/>
    </font>
    <font>
      <sz val="14"/>
      <color theme="8"/>
      <name val="Arial"/>
      <family val="2"/>
    </font>
    <font>
      <b/>
      <u/>
      <sz val="16"/>
      <color theme="9"/>
      <name val="Arial"/>
      <family val="2"/>
    </font>
    <font>
      <sz val="12"/>
      <color theme="9"/>
      <name val="Arial"/>
      <family val="2"/>
    </font>
    <font>
      <sz val="10"/>
      <color theme="9"/>
      <name val="Arial"/>
      <family val="2"/>
    </font>
    <font>
      <b/>
      <sz val="12"/>
      <color theme="9"/>
      <name val="Arial"/>
      <family val="2"/>
    </font>
    <font>
      <sz val="14"/>
      <color theme="9"/>
      <name val="Arial"/>
      <family val="2"/>
    </font>
    <font>
      <sz val="14"/>
      <color theme="9"/>
      <name val="LMG-Arun"/>
    </font>
    <font>
      <sz val="14"/>
      <color theme="9"/>
      <name val="Arial Unicode MS"/>
      <family val="2"/>
    </font>
    <font>
      <b/>
      <sz val="16"/>
      <color theme="9"/>
      <name val="Times New Roman"/>
      <family val="1"/>
    </font>
    <font>
      <sz val="12"/>
      <color theme="9"/>
      <name val="Times New Roman"/>
      <family val="1"/>
    </font>
    <font>
      <b/>
      <sz val="11"/>
      <color theme="9"/>
      <name val="Arial"/>
      <family val="2"/>
    </font>
    <font>
      <sz val="10"/>
      <color theme="9"/>
      <name val="Times New Roman"/>
      <family val="1"/>
    </font>
    <font>
      <sz val="11"/>
      <color theme="9"/>
      <name val="Arial"/>
      <family val="2"/>
    </font>
    <font>
      <sz val="11"/>
      <color theme="9"/>
      <name val="Times New Roman"/>
      <family val="1"/>
    </font>
    <font>
      <b/>
      <sz val="11"/>
      <color theme="9"/>
      <name val="Times New Roman"/>
      <family val="1"/>
    </font>
    <font>
      <sz val="12"/>
      <color theme="8"/>
      <name val="Arial"/>
      <family val="2"/>
    </font>
    <font>
      <b/>
      <sz val="14"/>
      <color theme="8"/>
      <name val="Arial"/>
      <family val="2"/>
    </font>
    <font>
      <u/>
      <sz val="12"/>
      <color theme="9"/>
      <name val="Arial"/>
      <family val="2"/>
    </font>
    <font>
      <sz val="12"/>
      <color theme="8"/>
      <name val="Times New Roman"/>
      <family val="1"/>
    </font>
    <font>
      <sz val="11"/>
      <color theme="8"/>
      <name val="Arial"/>
      <family val="2"/>
    </font>
    <font>
      <b/>
      <sz val="11"/>
      <color theme="8"/>
      <name val="Arial"/>
      <family val="2"/>
    </font>
  </fonts>
  <fills count="2">
    <fill>
      <patternFill patternType="none"/>
    </fill>
    <fill>
      <patternFill patternType="gray125"/>
    </fill>
  </fills>
  <borders count="20">
    <border>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0" fontId="6" fillId="0" borderId="0"/>
    <xf numFmtId="0" fontId="2" fillId="0" borderId="0"/>
  </cellStyleXfs>
  <cellXfs count="235">
    <xf numFmtId="0" fontId="0" fillId="0" borderId="0" xfId="0"/>
    <xf numFmtId="0" fontId="21" fillId="0" borderId="0" xfId="0" applyFont="1"/>
    <xf numFmtId="0" fontId="20" fillId="0" borderId="0" xfId="0" applyFont="1"/>
    <xf numFmtId="2" fontId="20" fillId="0" borderId="6" xfId="1" applyNumberFormat="1" applyFont="1" applyBorder="1" applyAlignment="1" applyProtection="1">
      <alignment horizontal="center" vertical="center" wrapText="1"/>
    </xf>
    <xf numFmtId="164" fontId="21" fillId="0" borderId="0" xfId="1" applyFont="1" applyFill="1" applyBorder="1" applyAlignment="1" applyProtection="1"/>
    <xf numFmtId="2" fontId="21" fillId="0" borderId="0" xfId="1" applyNumberFormat="1" applyFont="1" applyFill="1" applyBorder="1" applyAlignment="1" applyProtection="1">
      <alignment horizontal="center" vertical="top" wrapText="1"/>
    </xf>
    <xf numFmtId="2" fontId="33" fillId="0" borderId="0" xfId="0" applyNumberFormat="1" applyFont="1" applyAlignment="1" applyProtection="1">
      <alignment horizontal="center" vertical="center"/>
      <protection locked="0"/>
    </xf>
    <xf numFmtId="2" fontId="33" fillId="0" borderId="7" xfId="0" applyNumberFormat="1" applyFont="1" applyBorder="1" applyAlignment="1" applyProtection="1">
      <alignment horizontal="center" vertical="center"/>
      <protection locked="0"/>
    </xf>
    <xf numFmtId="164" fontId="28" fillId="0" borderId="6" xfId="1" applyFont="1" applyBorder="1" applyAlignment="1" applyProtection="1">
      <alignment horizontal="center" vertical="center" wrapText="1"/>
    </xf>
    <xf numFmtId="2" fontId="33" fillId="0" borderId="6" xfId="1" applyNumberFormat="1" applyFont="1" applyBorder="1" applyAlignment="1" applyProtection="1">
      <alignment horizontal="center" vertical="top" wrapText="1"/>
      <protection locked="0"/>
    </xf>
    <xf numFmtId="2" fontId="34" fillId="0" borderId="6" xfId="1" applyNumberFormat="1" applyFont="1" applyBorder="1" applyAlignment="1" applyProtection="1">
      <alignment horizontal="center" vertical="center" wrapText="1"/>
      <protection locked="0"/>
    </xf>
    <xf numFmtId="164" fontId="31" fillId="0" borderId="0" xfId="1" applyFont="1" applyBorder="1" applyAlignment="1" applyProtection="1">
      <alignment horizontal="center" vertical="top" wrapText="1"/>
    </xf>
    <xf numFmtId="164" fontId="32" fillId="0" borderId="0" xfId="1" applyFont="1" applyBorder="1" applyAlignment="1" applyProtection="1">
      <alignment horizontal="center"/>
    </xf>
    <xf numFmtId="164" fontId="31" fillId="0" borderId="0" xfId="1" applyFont="1" applyBorder="1" applyAlignment="1" applyProtection="1">
      <alignment horizontal="center"/>
    </xf>
    <xf numFmtId="164" fontId="31" fillId="0" borderId="0" xfId="1" applyFont="1" applyBorder="1" applyAlignment="1" applyProtection="1">
      <alignment horizontal="center" wrapText="1"/>
    </xf>
    <xf numFmtId="164" fontId="32" fillId="0" borderId="0" xfId="1" applyFont="1" applyBorder="1" applyAlignment="1" applyProtection="1">
      <alignment horizontal="center" wrapText="1"/>
    </xf>
    <xf numFmtId="164" fontId="31" fillId="0" borderId="0" xfId="1" applyFont="1" applyBorder="1" applyAlignment="1" applyProtection="1">
      <alignment horizontal="center" vertical="top"/>
    </xf>
    <xf numFmtId="164" fontId="27" fillId="0" borderId="0" xfId="1" applyFont="1" applyBorder="1" applyAlignment="1" applyProtection="1">
      <alignment horizontal="center" vertical="top"/>
    </xf>
    <xf numFmtId="164" fontId="27" fillId="0" borderId="0" xfId="1" applyFont="1" applyBorder="1" applyAlignment="1" applyProtection="1">
      <alignment horizontal="center"/>
    </xf>
    <xf numFmtId="0" fontId="3" fillId="0" borderId="0" xfId="0" applyFont="1"/>
    <xf numFmtId="0" fontId="3" fillId="0" borderId="0" xfId="0" applyFont="1" applyAlignment="1">
      <alignment vertical="top" wrapText="1"/>
    </xf>
    <xf numFmtId="0" fontId="5" fillId="0" borderId="0" xfId="0" applyFont="1"/>
    <xf numFmtId="0" fontId="20" fillId="0" borderId="0" xfId="0" applyFont="1" applyProtection="1">
      <protection locked="0"/>
    </xf>
    <xf numFmtId="0" fontId="23" fillId="0" borderId="0" xfId="0" applyFont="1" applyProtection="1">
      <protection locked="0"/>
    </xf>
    <xf numFmtId="0" fontId="14" fillId="0" borderId="0" xfId="0" applyFont="1" applyAlignment="1">
      <alignment vertical="center"/>
    </xf>
    <xf numFmtId="0" fontId="11" fillId="0" borderId="0" xfId="0" applyFont="1"/>
    <xf numFmtId="0" fontId="10" fillId="0" borderId="0" xfId="0" applyFont="1" applyAlignment="1">
      <alignment horizontal="right" vertical="center"/>
    </xf>
    <xf numFmtId="0" fontId="9" fillId="0" borderId="0" xfId="0" applyFont="1" applyAlignment="1">
      <alignment vertical="center"/>
    </xf>
    <xf numFmtId="0" fontId="6" fillId="0" borderId="0" xfId="0" applyFont="1" applyAlignment="1">
      <alignment wrapText="1"/>
    </xf>
    <xf numFmtId="0" fontId="20" fillId="0" borderId="0" xfId="0" applyFont="1" applyAlignment="1">
      <alignment horizontal="left"/>
    </xf>
    <xf numFmtId="0" fontId="15" fillId="0" borderId="0" xfId="0" applyFont="1" applyProtection="1">
      <protection locked="0"/>
    </xf>
    <xf numFmtId="0" fontId="15" fillId="0" borderId="9" xfId="0" applyFont="1" applyBorder="1" applyProtection="1">
      <protection locked="0"/>
    </xf>
    <xf numFmtId="0" fontId="20" fillId="0" borderId="8" xfId="0" applyFont="1" applyBorder="1" applyAlignment="1">
      <alignment horizontal="left" indent="1"/>
    </xf>
    <xf numFmtId="0" fontId="20" fillId="0" borderId="0" xfId="0" applyFont="1" applyAlignment="1">
      <alignment horizontal="left" indent="1"/>
    </xf>
    <xf numFmtId="0" fontId="20" fillId="0" borderId="9" xfId="0" applyFont="1" applyBorder="1" applyProtection="1">
      <protection locked="0"/>
    </xf>
    <xf numFmtId="0" fontId="20" fillId="0" borderId="9" xfId="0" applyFont="1" applyBorder="1"/>
    <xf numFmtId="0" fontId="22" fillId="0" borderId="9" xfId="0" applyFont="1" applyBorder="1"/>
    <xf numFmtId="0" fontId="20" fillId="0" borderId="8" xfId="0" applyFont="1" applyBorder="1"/>
    <xf numFmtId="0" fontId="23" fillId="0" borderId="9" xfId="0" applyFont="1" applyBorder="1" applyProtection="1">
      <protection locked="0"/>
    </xf>
    <xf numFmtId="0" fontId="25" fillId="0" borderId="8" xfId="0" applyFont="1" applyBorder="1" applyAlignment="1">
      <alignment horizontal="center" vertical="center" wrapText="1"/>
    </xf>
    <xf numFmtId="166" fontId="16" fillId="0" borderId="0" xfId="0" applyNumberFormat="1" applyFont="1" applyAlignment="1" applyProtection="1">
      <alignment horizontal="center" vertical="center"/>
      <protection locked="0"/>
    </xf>
    <xf numFmtId="0" fontId="21" fillId="0" borderId="8" xfId="0" applyFont="1" applyBorder="1"/>
    <xf numFmtId="2" fontId="20" fillId="0" borderId="0" xfId="3" applyNumberFormat="1" applyFont="1" applyAlignment="1">
      <alignment vertical="top" wrapText="1"/>
    </xf>
    <xf numFmtId="2" fontId="20" fillId="0" borderId="9" xfId="3" applyNumberFormat="1" applyFont="1" applyBorder="1" applyAlignment="1">
      <alignment vertical="top"/>
    </xf>
    <xf numFmtId="2" fontId="22" fillId="0" borderId="0" xfId="3" applyNumberFormat="1" applyFont="1" applyAlignment="1">
      <alignment horizontal="center" vertical="center"/>
    </xf>
    <xf numFmtId="0" fontId="21" fillId="0" borderId="15" xfId="0" applyFont="1" applyBorder="1"/>
    <xf numFmtId="0" fontId="21" fillId="0" borderId="7" xfId="0" applyFont="1" applyBorder="1"/>
    <xf numFmtId="2" fontId="17" fillId="0" borderId="7" xfId="3" applyNumberFormat="1" applyFont="1" applyBorder="1" applyAlignment="1" applyProtection="1">
      <alignment horizontal="center" vertical="center"/>
      <protection locked="0"/>
    </xf>
    <xf numFmtId="0" fontId="21" fillId="0" borderId="16" xfId="0" applyFont="1" applyBorder="1"/>
    <xf numFmtId="0" fontId="20" fillId="0" borderId="0" xfId="0" applyFont="1" applyAlignment="1">
      <alignment horizontal="center"/>
    </xf>
    <xf numFmtId="0" fontId="26" fillId="0" borderId="0" xfId="0" applyFont="1" applyAlignment="1">
      <alignment horizontal="center" vertical="top"/>
    </xf>
    <xf numFmtId="0" fontId="27" fillId="0" borderId="0" xfId="0" applyFont="1" applyAlignment="1">
      <alignment horizontal="center"/>
    </xf>
    <xf numFmtId="0" fontId="27" fillId="0" borderId="0" xfId="0" applyFont="1" applyAlignment="1">
      <alignment horizontal="center" vertical="center" wrapText="1"/>
    </xf>
    <xf numFmtId="0" fontId="20" fillId="0" borderId="6" xfId="0" applyFont="1" applyBorder="1" applyAlignment="1">
      <alignment horizontal="left" vertical="top" wrapText="1"/>
    </xf>
    <xf numFmtId="0" fontId="27" fillId="0" borderId="0" xfId="0" applyFont="1" applyAlignment="1">
      <alignment horizontal="center" vertical="top" wrapText="1"/>
    </xf>
    <xf numFmtId="2" fontId="27" fillId="0" borderId="0" xfId="0" applyNumberFormat="1" applyFont="1" applyAlignment="1">
      <alignment horizontal="center" vertical="top" wrapText="1"/>
    </xf>
    <xf numFmtId="0" fontId="20" fillId="0" borderId="6" xfId="0" applyFont="1" applyBorder="1" applyAlignment="1">
      <alignment horizontal="left" vertical="center" wrapText="1"/>
    </xf>
    <xf numFmtId="0" fontId="30" fillId="0" borderId="6" xfId="0" applyFont="1" applyBorder="1" applyAlignment="1">
      <alignment horizontal="center" vertical="justify" wrapText="1"/>
    </xf>
    <xf numFmtId="2" fontId="30" fillId="0" borderId="6" xfId="0" applyNumberFormat="1" applyFont="1" applyBorder="1" applyAlignment="1">
      <alignment horizontal="center" wrapText="1"/>
    </xf>
    <xf numFmtId="0" fontId="30" fillId="0" borderId="6" xfId="0" applyFont="1" applyBorder="1" applyAlignment="1">
      <alignment horizontal="center" wrapText="1"/>
    </xf>
    <xf numFmtId="0" fontId="29" fillId="0" borderId="0" xfId="0" applyFont="1" applyAlignment="1">
      <alignment horizontal="center" vertical="center" wrapText="1"/>
    </xf>
    <xf numFmtId="2" fontId="30" fillId="0" borderId="0" xfId="3" applyNumberFormat="1" applyFont="1" applyAlignment="1">
      <alignment horizontal="center" vertical="top"/>
    </xf>
    <xf numFmtId="0" fontId="31" fillId="0" borderId="0" xfId="0" applyFont="1" applyAlignment="1">
      <alignment horizontal="center"/>
    </xf>
    <xf numFmtId="0" fontId="31" fillId="0" borderId="0" xfId="0" applyFont="1" applyAlignment="1">
      <alignment horizontal="center" vertical="top" wrapText="1"/>
    </xf>
    <xf numFmtId="0" fontId="32" fillId="0" borderId="0" xfId="0" applyFont="1" applyAlignment="1">
      <alignment horizontal="center" wrapText="1"/>
    </xf>
    <xf numFmtId="0" fontId="31" fillId="0" borderId="0" xfId="0" applyFont="1" applyAlignment="1">
      <alignment horizontal="center" wrapText="1"/>
    </xf>
    <xf numFmtId="2" fontId="37" fillId="0" borderId="6" xfId="0" applyNumberFormat="1" applyFont="1" applyBorder="1" applyAlignment="1" applyProtection="1">
      <alignment horizontal="center" vertical="justify" wrapText="1"/>
      <protection locked="0"/>
    </xf>
    <xf numFmtId="0" fontId="36" fillId="0" borderId="6" xfId="0" applyFont="1" applyBorder="1" applyAlignment="1" applyProtection="1">
      <alignment horizontal="center" vertical="top" wrapText="1"/>
      <protection locked="0"/>
    </xf>
    <xf numFmtId="0" fontId="21" fillId="0" borderId="0" xfId="0" applyFont="1" applyAlignment="1">
      <alignment horizontal="center" vertical="top" wrapText="1"/>
    </xf>
    <xf numFmtId="164" fontId="21" fillId="0" borderId="0" xfId="1" applyFont="1" applyBorder="1" applyAlignment="1" applyProtection="1">
      <alignment horizontal="center" wrapText="1"/>
    </xf>
    <xf numFmtId="0" fontId="21" fillId="0" borderId="0" xfId="0" applyFont="1" applyAlignment="1">
      <alignment horizontal="center" wrapText="1"/>
    </xf>
    <xf numFmtId="2" fontId="21" fillId="0" borderId="0" xfId="3" applyNumberFormat="1" applyFont="1" applyAlignment="1">
      <alignment horizontal="center" vertical="top" wrapText="1"/>
    </xf>
    <xf numFmtId="2" fontId="21" fillId="0" borderId="0" xfId="3" applyNumberFormat="1" applyFont="1" applyAlignment="1">
      <alignment horizontal="center" vertical="top"/>
    </xf>
    <xf numFmtId="164" fontId="21" fillId="0" borderId="9" xfId="1" applyFont="1" applyBorder="1" applyAlignment="1" applyProtection="1">
      <alignment horizontal="center" wrapText="1"/>
    </xf>
    <xf numFmtId="2" fontId="21" fillId="0" borderId="9" xfId="3" applyNumberFormat="1" applyFont="1" applyBorder="1" applyAlignment="1">
      <alignment horizontal="center" vertical="top"/>
    </xf>
    <xf numFmtId="2" fontId="21" fillId="0" borderId="7" xfId="3" applyNumberFormat="1" applyFont="1" applyBorder="1" applyAlignment="1">
      <alignment horizontal="center" vertical="top" wrapText="1"/>
    </xf>
    <xf numFmtId="2" fontId="21" fillId="0" borderId="7" xfId="3" applyNumberFormat="1" applyFont="1" applyBorder="1" applyAlignment="1">
      <alignment horizontal="center" vertical="top"/>
    </xf>
    <xf numFmtId="2" fontId="21" fillId="0" borderId="16" xfId="3" applyNumberFormat="1" applyFont="1" applyBorder="1" applyAlignment="1">
      <alignment horizontal="center" vertical="top"/>
    </xf>
    <xf numFmtId="2" fontId="22" fillId="0" borderId="15" xfId="3" applyNumberFormat="1" applyFont="1" applyBorder="1" applyAlignment="1">
      <alignment horizontal="center" wrapText="1"/>
    </xf>
    <xf numFmtId="2" fontId="22" fillId="0" borderId="16" xfId="3" applyNumberFormat="1" applyFont="1" applyBorder="1" applyAlignment="1">
      <alignment horizontal="center" wrapText="1"/>
    </xf>
    <xf numFmtId="0" fontId="27" fillId="0" borderId="0" xfId="0" applyFont="1" applyAlignment="1">
      <alignment horizontal="left" vertical="center"/>
    </xf>
    <xf numFmtId="2" fontId="27" fillId="0" borderId="0" xfId="0" applyNumberFormat="1" applyFont="1" applyAlignment="1">
      <alignment horizontal="left" vertical="center"/>
    </xf>
    <xf numFmtId="0" fontId="20" fillId="0" borderId="5" xfId="0" applyFont="1" applyBorder="1" applyAlignment="1">
      <alignment horizontal="left" vertical="center"/>
    </xf>
    <xf numFmtId="0" fontId="20" fillId="0" borderId="0" xfId="0" applyFont="1" applyAlignment="1">
      <alignment horizontal="left" vertical="center"/>
    </xf>
    <xf numFmtId="2" fontId="20" fillId="0" borderId="0" xfId="0" applyNumberFormat="1" applyFont="1" applyAlignment="1">
      <alignment horizontal="center" vertical="center"/>
    </xf>
    <xf numFmtId="0" fontId="20" fillId="0" borderId="0" xfId="0" applyFont="1" applyAlignment="1">
      <alignment horizontal="center" vertical="center"/>
    </xf>
    <xf numFmtId="165" fontId="27" fillId="0" borderId="0" xfId="0" applyNumberFormat="1" applyFont="1" applyAlignment="1">
      <alignment horizontal="center" vertical="center"/>
    </xf>
    <xf numFmtId="2" fontId="27" fillId="0" borderId="0" xfId="0" applyNumberFormat="1" applyFont="1" applyAlignment="1">
      <alignment horizontal="center" vertical="center"/>
    </xf>
    <xf numFmtId="0" fontId="27" fillId="0" borderId="0" xfId="0" applyFont="1" applyAlignment="1">
      <alignment horizontal="center" vertical="center"/>
    </xf>
    <xf numFmtId="2" fontId="20" fillId="0" borderId="0" xfId="0" applyNumberFormat="1" applyFont="1" applyAlignment="1">
      <alignment horizontal="left" vertical="center"/>
    </xf>
    <xf numFmtId="0" fontId="20" fillId="0" borderId="1" xfId="0" applyFont="1" applyBorder="1" applyAlignment="1">
      <alignment horizontal="left" vertical="center"/>
    </xf>
    <xf numFmtId="0" fontId="20" fillId="0" borderId="0" xfId="0" applyFont="1" applyAlignment="1">
      <alignment horizontal="left" vertical="center" wrapText="1"/>
    </xf>
    <xf numFmtId="0" fontId="36" fillId="0" borderId="0" xfId="0" applyFont="1" applyAlignment="1">
      <alignment horizontal="center" vertical="center"/>
    </xf>
    <xf numFmtId="2" fontId="33" fillId="0" borderId="0" xfId="0" applyNumberFormat="1" applyFont="1" applyAlignment="1">
      <alignment horizontal="center" vertical="center"/>
    </xf>
    <xf numFmtId="0" fontId="20" fillId="0" borderId="0" xfId="0" applyFont="1" applyAlignment="1">
      <alignment horizontal="center" vertical="center" wrapText="1"/>
    </xf>
    <xf numFmtId="0" fontId="33" fillId="0" borderId="1" xfId="0" applyFont="1" applyBorder="1" applyAlignment="1">
      <alignment horizontal="left" vertical="center"/>
    </xf>
    <xf numFmtId="164" fontId="20" fillId="0" borderId="0" xfId="0" applyNumberFormat="1" applyFont="1" applyAlignment="1">
      <alignment horizontal="left" vertical="center"/>
    </xf>
    <xf numFmtId="164" fontId="33" fillId="0" borderId="0" xfId="0" applyNumberFormat="1" applyFont="1" applyAlignment="1">
      <alignment horizontal="left" vertical="center"/>
    </xf>
    <xf numFmtId="165" fontId="36" fillId="0" borderId="0" xfId="0" applyNumberFormat="1" applyFont="1" applyAlignment="1">
      <alignment horizontal="left" vertical="center"/>
    </xf>
    <xf numFmtId="165" fontId="20" fillId="0" borderId="0" xfId="0" applyNumberFormat="1" applyFont="1" applyAlignment="1">
      <alignment vertical="center"/>
    </xf>
    <xf numFmtId="2" fontId="33" fillId="0" borderId="0" xfId="0" applyNumberFormat="1" applyFont="1" applyAlignment="1">
      <alignment horizontal="left" vertical="center"/>
    </xf>
    <xf numFmtId="165" fontId="27" fillId="0" borderId="0" xfId="0" applyNumberFormat="1" applyFont="1" applyAlignment="1">
      <alignment horizontal="left" vertical="center"/>
    </xf>
    <xf numFmtId="165" fontId="20" fillId="0" borderId="0" xfId="0" applyNumberFormat="1" applyFont="1" applyAlignment="1">
      <alignment horizontal="left" vertical="center"/>
    </xf>
    <xf numFmtId="0" fontId="33" fillId="0" borderId="5" xfId="0" applyFont="1" applyBorder="1" applyAlignment="1">
      <alignment horizontal="center" vertical="center"/>
    </xf>
    <xf numFmtId="0" fontId="30" fillId="0" borderId="0" xfId="0" applyFont="1" applyAlignment="1">
      <alignment horizontal="center"/>
    </xf>
    <xf numFmtId="0" fontId="37" fillId="0" borderId="0" xfId="0" applyFont="1" applyAlignment="1">
      <alignment horizontal="center"/>
    </xf>
    <xf numFmtId="0" fontId="30" fillId="0" borderId="9" xfId="0" applyFont="1" applyBorder="1" applyAlignment="1">
      <alignment horizontal="center"/>
    </xf>
    <xf numFmtId="2" fontId="15" fillId="0" borderId="0" xfId="0" applyNumberFormat="1" applyFont="1" applyAlignment="1">
      <alignment horizontal="center"/>
    </xf>
    <xf numFmtId="0" fontId="33" fillId="0" borderId="5" xfId="0" applyFont="1" applyBorder="1" applyAlignment="1">
      <alignment horizontal="center" vertical="center" wrapText="1"/>
    </xf>
    <xf numFmtId="0" fontId="27" fillId="0" borderId="0" xfId="0" applyFont="1"/>
    <xf numFmtId="0" fontId="15" fillId="0" borderId="8" xfId="0" applyFont="1" applyBorder="1" applyAlignment="1">
      <alignment horizontal="center" vertical="center"/>
    </xf>
    <xf numFmtId="0" fontId="30" fillId="0" borderId="0" xfId="0" applyFont="1" applyAlignment="1">
      <alignment horizontal="center" vertical="center"/>
    </xf>
    <xf numFmtId="0" fontId="37" fillId="0" borderId="0" xfId="0" applyFont="1" applyAlignment="1">
      <alignment horizontal="center" vertical="center"/>
    </xf>
    <xf numFmtId="2" fontId="37" fillId="0" borderId="0" xfId="0" applyNumberFormat="1" applyFont="1" applyAlignment="1">
      <alignment horizontal="center" vertical="center"/>
    </xf>
    <xf numFmtId="0" fontId="28" fillId="0" borderId="0" xfId="0" applyFont="1" applyAlignment="1">
      <alignment horizontal="center" vertical="center"/>
    </xf>
    <xf numFmtId="2" fontId="38" fillId="0" borderId="0" xfId="0" applyNumberFormat="1" applyFont="1" applyAlignment="1">
      <alignment horizontal="center" vertical="center"/>
    </xf>
    <xf numFmtId="0" fontId="28" fillId="0" borderId="9" xfId="0" applyFont="1" applyBorder="1" applyAlignment="1">
      <alignment horizontal="center" vertical="center"/>
    </xf>
    <xf numFmtId="0" fontId="15" fillId="0" borderId="0" xfId="0" applyFont="1" applyAlignment="1">
      <alignment horizontal="center" vertical="center"/>
    </xf>
    <xf numFmtId="0" fontId="20" fillId="0" borderId="5" xfId="0" applyFont="1" applyBorder="1" applyAlignment="1">
      <alignment horizontal="center" vertical="center"/>
    </xf>
    <xf numFmtId="2" fontId="27" fillId="0" borderId="0" xfId="0" applyNumberFormat="1" applyFont="1" applyAlignment="1">
      <alignment horizontal="center"/>
    </xf>
    <xf numFmtId="0" fontId="38" fillId="0" borderId="0" xfId="0" applyFont="1" applyAlignment="1">
      <alignment horizontal="center" vertical="center"/>
    </xf>
    <xf numFmtId="2" fontId="20" fillId="0" borderId="1" xfId="0" applyNumberFormat="1" applyFont="1" applyBorder="1" applyAlignment="1">
      <alignment horizontal="left" vertical="center"/>
    </xf>
    <xf numFmtId="0" fontId="28" fillId="0" borderId="0" xfId="0" applyFont="1" applyAlignment="1">
      <alignment horizontal="center"/>
    </xf>
    <xf numFmtId="0" fontId="28" fillId="0" borderId="9" xfId="0" applyFont="1" applyBorder="1" applyAlignment="1">
      <alignment horizontal="center"/>
    </xf>
    <xf numFmtId="0" fontId="15" fillId="0" borderId="8" xfId="0" applyFont="1" applyBorder="1"/>
    <xf numFmtId="165" fontId="28" fillId="0" borderId="0" xfId="0" applyNumberFormat="1" applyFont="1"/>
    <xf numFmtId="165" fontId="37" fillId="0" borderId="0" xfId="0" applyNumberFormat="1" applyFont="1" applyAlignment="1">
      <alignment horizontal="center"/>
    </xf>
    <xf numFmtId="165" fontId="37" fillId="0" borderId="0" xfId="0" applyNumberFormat="1" applyFont="1"/>
    <xf numFmtId="165" fontId="30" fillId="0" borderId="0" xfId="0" applyNumberFormat="1" applyFont="1" applyAlignment="1">
      <alignment horizontal="center"/>
    </xf>
    <xf numFmtId="0" fontId="15" fillId="0" borderId="0" xfId="0" applyFont="1"/>
    <xf numFmtId="165" fontId="30" fillId="0" borderId="0" xfId="0" applyNumberFormat="1" applyFont="1"/>
    <xf numFmtId="0" fontId="37" fillId="0" borderId="0" xfId="0" applyFont="1"/>
    <xf numFmtId="0" fontId="28" fillId="0" borderId="0" xfId="0" applyFont="1" applyAlignment="1">
      <alignment horizontal="right"/>
    </xf>
    <xf numFmtId="0" fontId="30" fillId="0" borderId="0" xfId="0" applyFont="1" applyAlignment="1">
      <alignment horizontal="left" vertical="center"/>
    </xf>
    <xf numFmtId="2" fontId="30" fillId="0" borderId="0" xfId="0" applyNumberFormat="1" applyFont="1" applyAlignment="1">
      <alignment horizontal="left" vertical="center"/>
    </xf>
    <xf numFmtId="165" fontId="30" fillId="0" borderId="0" xfId="0" applyNumberFormat="1" applyFont="1" applyAlignment="1">
      <alignment horizontal="left" vertical="center"/>
    </xf>
    <xf numFmtId="0" fontId="31" fillId="0" borderId="0" xfId="0" applyFont="1" applyAlignment="1">
      <alignment horizontal="left" vertical="center"/>
    </xf>
    <xf numFmtId="0" fontId="36" fillId="0" borderId="0" xfId="0" applyFont="1" applyAlignment="1" applyProtection="1">
      <alignment horizontal="center" vertical="center"/>
      <protection locked="0"/>
    </xf>
    <xf numFmtId="0" fontId="37" fillId="0" borderId="0" xfId="0" applyFont="1" applyAlignment="1" applyProtection="1">
      <alignment horizontal="center"/>
      <protection locked="0"/>
    </xf>
    <xf numFmtId="2" fontId="37" fillId="0" borderId="0" xfId="0" applyNumberFormat="1" applyFont="1" applyAlignment="1" applyProtection="1">
      <alignment horizontal="center"/>
      <protection locked="0"/>
    </xf>
    <xf numFmtId="2" fontId="15" fillId="0" borderId="0" xfId="0" applyNumberFormat="1" applyFont="1" applyAlignment="1" applyProtection="1">
      <alignment horizontal="center"/>
      <protection locked="0"/>
    </xf>
    <xf numFmtId="0" fontId="37" fillId="0" borderId="0" xfId="0" applyFont="1" applyAlignment="1" applyProtection="1">
      <alignment horizontal="center" vertical="center"/>
      <protection locked="0"/>
    </xf>
    <xf numFmtId="2" fontId="37" fillId="0" borderId="0" xfId="0" applyNumberFormat="1" applyFont="1" applyAlignment="1" applyProtection="1">
      <alignment horizontal="center" vertical="center"/>
      <protection locked="0"/>
    </xf>
    <xf numFmtId="2" fontId="38" fillId="0" borderId="0" xfId="0" applyNumberFormat="1" applyFont="1" applyAlignment="1" applyProtection="1">
      <alignment horizontal="center" vertical="center"/>
      <protection locked="0"/>
    </xf>
    <xf numFmtId="2" fontId="38" fillId="0" borderId="0" xfId="0" applyNumberFormat="1" applyFont="1" applyProtection="1">
      <protection locked="0"/>
    </xf>
    <xf numFmtId="2" fontId="37" fillId="0" borderId="0" xfId="0" applyNumberFormat="1" applyFont="1" applyAlignment="1" applyProtection="1">
      <alignment horizontal="right"/>
      <protection locked="0"/>
    </xf>
    <xf numFmtId="2" fontId="37" fillId="0" borderId="0" xfId="0" applyNumberFormat="1" applyFont="1" applyProtection="1">
      <protection locked="0"/>
    </xf>
    <xf numFmtId="0" fontId="23" fillId="0" borderId="6" xfId="0" applyFont="1" applyBorder="1" applyAlignment="1">
      <alignment horizontal="right" vertical="center" wrapText="1"/>
    </xf>
    <xf numFmtId="0" fontId="21" fillId="0" borderId="6" xfId="2" applyFont="1" applyBorder="1"/>
    <xf numFmtId="0" fontId="21" fillId="0" borderId="6" xfId="2" applyFont="1" applyBorder="1" applyAlignment="1">
      <alignment wrapText="1"/>
    </xf>
    <xf numFmtId="0" fontId="21" fillId="0" borderId="6" xfId="2" applyFont="1" applyBorder="1" applyAlignment="1">
      <alignment horizontal="center"/>
    </xf>
    <xf numFmtId="0" fontId="21" fillId="0" borderId="6" xfId="0" applyFont="1" applyBorder="1"/>
    <xf numFmtId="0" fontId="19" fillId="0" borderId="0" xfId="0" applyFont="1"/>
    <xf numFmtId="2" fontId="20" fillId="0" borderId="0" xfId="3" applyNumberFormat="1" applyFont="1" applyAlignment="1">
      <alignment wrapText="1"/>
    </xf>
    <xf numFmtId="2" fontId="20" fillId="0" borderId="0" xfId="3" applyNumberFormat="1" applyFont="1" applyAlignment="1">
      <alignment horizontal="center"/>
    </xf>
    <xf numFmtId="2" fontId="33" fillId="0" borderId="0" xfId="0" applyNumberFormat="1" applyFont="1" applyAlignment="1" applyProtection="1">
      <alignment horizontal="center"/>
      <protection locked="0"/>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20" fillId="0" borderId="8" xfId="0" applyFont="1" applyBorder="1" applyAlignment="1">
      <alignment horizontal="left"/>
    </xf>
    <xf numFmtId="0" fontId="20" fillId="0" borderId="0" xfId="0" applyFont="1" applyAlignment="1">
      <alignment horizontal="left"/>
    </xf>
    <xf numFmtId="0" fontId="20" fillId="0" borderId="8" xfId="0" applyFont="1" applyBorder="1" applyAlignment="1">
      <alignment horizontal="left" vertical="top"/>
    </xf>
    <xf numFmtId="0" fontId="20" fillId="0" borderId="0" xfId="0" applyFont="1" applyAlignment="1">
      <alignment horizontal="left" vertical="top"/>
    </xf>
    <xf numFmtId="2" fontId="22" fillId="0" borderId="0" xfId="3" applyNumberFormat="1" applyFont="1" applyAlignment="1">
      <alignment horizontal="center" vertical="center" wrapText="1"/>
    </xf>
    <xf numFmtId="0" fontId="12" fillId="0" borderId="0" xfId="0" applyFont="1" applyAlignment="1">
      <alignment horizontal="left" vertical="center"/>
    </xf>
    <xf numFmtId="0" fontId="24" fillId="0" borderId="8" xfId="0" applyFont="1" applyBorder="1" applyAlignment="1">
      <alignment horizontal="center" vertical="center"/>
    </xf>
    <xf numFmtId="0" fontId="24" fillId="0" borderId="0" xfId="0" applyFont="1" applyAlignment="1">
      <alignment horizontal="center" vertical="center"/>
    </xf>
    <xf numFmtId="0" fontId="24" fillId="0" borderId="9" xfId="0" applyFont="1" applyBorder="1" applyAlignment="1">
      <alignment horizontal="center" vertical="center"/>
    </xf>
    <xf numFmtId="0" fontId="23" fillId="0" borderId="8" xfId="0" applyFont="1" applyBorder="1" applyAlignment="1">
      <alignment horizontal="justify" vertical="center" wrapText="1"/>
    </xf>
    <xf numFmtId="0" fontId="23" fillId="0" borderId="0" xfId="0" applyFont="1" applyAlignment="1">
      <alignment horizontal="justify" vertical="center" wrapText="1"/>
    </xf>
    <xf numFmtId="0" fontId="23" fillId="0" borderId="9" xfId="0" applyFont="1" applyBorder="1" applyAlignment="1">
      <alignment horizontal="justify" vertical="center" wrapText="1"/>
    </xf>
    <xf numFmtId="0" fontId="20" fillId="0" borderId="0" xfId="0" applyFont="1" applyAlignment="1">
      <alignment horizontal="center"/>
    </xf>
    <xf numFmtId="0" fontId="20" fillId="0" borderId="9" xfId="0" applyFont="1" applyBorder="1" applyAlignment="1">
      <alignment horizontal="center"/>
    </xf>
    <xf numFmtId="0" fontId="6" fillId="0" borderId="0" xfId="0" applyFont="1" applyAlignment="1">
      <alignment horizontal="center" wrapText="1"/>
    </xf>
    <xf numFmtId="0" fontId="16" fillId="0" borderId="0" xfId="0" applyFont="1" applyAlignment="1" applyProtection="1">
      <alignment horizontal="left" vertical="center" wrapText="1"/>
      <protection locked="0"/>
    </xf>
    <xf numFmtId="0" fontId="16" fillId="0" borderId="9" xfId="0" applyFont="1" applyBorder="1" applyAlignment="1" applyProtection="1">
      <alignment horizontal="left" vertical="center" wrapText="1"/>
      <protection locked="0"/>
    </xf>
    <xf numFmtId="0" fontId="21" fillId="0" borderId="8" xfId="0" applyFont="1" applyBorder="1" applyAlignment="1">
      <alignment horizontal="left" vertical="center" wrapText="1"/>
    </xf>
    <xf numFmtId="0" fontId="21" fillId="0" borderId="0" xfId="0" applyFont="1" applyAlignment="1">
      <alignment horizontal="left" vertical="center" wrapText="1"/>
    </xf>
    <xf numFmtId="0" fontId="21" fillId="0" borderId="9" xfId="0" applyFont="1" applyBorder="1" applyAlignment="1">
      <alignment horizontal="left" vertical="center" wrapText="1"/>
    </xf>
    <xf numFmtId="0" fontId="20" fillId="0" borderId="0" xfId="0" applyFont="1" applyAlignment="1">
      <alignment horizontal="left" vertical="top" wrapText="1"/>
    </xf>
    <xf numFmtId="0" fontId="18" fillId="0" borderId="0" xfId="0" applyFont="1" applyAlignment="1" applyProtection="1">
      <alignment horizontal="left"/>
      <protection locked="0"/>
    </xf>
    <xf numFmtId="0" fontId="18" fillId="0" borderId="9" xfId="0" applyFont="1" applyBorder="1" applyAlignment="1" applyProtection="1">
      <alignment horizontal="left"/>
      <protection locked="0"/>
    </xf>
    <xf numFmtId="0" fontId="16" fillId="0" borderId="0" xfId="0" applyFont="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8" fillId="0" borderId="0" xfId="0" applyFont="1" applyAlignment="1">
      <alignment horizontal="left"/>
    </xf>
    <xf numFmtId="0" fontId="4" fillId="0" borderId="0" xfId="0" applyFont="1" applyAlignment="1">
      <alignment horizontal="left"/>
    </xf>
    <xf numFmtId="0" fontId="7" fillId="0" borderId="0" xfId="0" applyFont="1" applyAlignment="1">
      <alignment horizontal="left"/>
    </xf>
    <xf numFmtId="0" fontId="20" fillId="0" borderId="8" xfId="0" applyFont="1" applyBorder="1" applyAlignment="1">
      <alignment horizontal="right"/>
    </xf>
    <xf numFmtId="0" fontId="20" fillId="0" borderId="0" xfId="0" applyFont="1" applyAlignment="1">
      <alignment horizontal="right"/>
    </xf>
    <xf numFmtId="0" fontId="23" fillId="0" borderId="8" xfId="0" applyFont="1" applyBorder="1" applyAlignment="1">
      <alignment horizontal="right" vertical="center" wrapText="1"/>
    </xf>
    <xf numFmtId="0" fontId="23" fillId="0" borderId="0" xfId="0" applyFont="1" applyAlignment="1">
      <alignment horizontal="right" vertical="center" wrapText="1"/>
    </xf>
    <xf numFmtId="0" fontId="13" fillId="0" borderId="0" xfId="0" applyFont="1" applyAlignment="1">
      <alignment horizontal="left"/>
    </xf>
    <xf numFmtId="2" fontId="17" fillId="0" borderId="0" xfId="0" applyNumberFormat="1" applyFont="1" applyAlignment="1">
      <alignment horizontal="center"/>
    </xf>
    <xf numFmtId="0" fontId="21" fillId="0" borderId="8" xfId="0" applyFont="1" applyBorder="1" applyAlignment="1">
      <alignment horizontal="right" vertical="center" wrapText="1"/>
    </xf>
    <xf numFmtId="0" fontId="21" fillId="0" borderId="0" xfId="0" applyFont="1" applyAlignment="1">
      <alignment horizontal="right" vertical="center" wrapText="1"/>
    </xf>
    <xf numFmtId="0" fontId="15" fillId="0" borderId="0" xfId="0" applyFont="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2" fontId="20" fillId="0" borderId="6" xfId="0" applyNumberFormat="1" applyFont="1" applyBorder="1" applyAlignment="1">
      <alignment horizontal="center" vertical="center" wrapText="1"/>
    </xf>
    <xf numFmtId="2" fontId="33" fillId="0" borderId="6" xfId="1" applyNumberFormat="1" applyFont="1" applyBorder="1" applyAlignment="1" applyProtection="1">
      <alignment horizontal="center" vertical="center" wrapText="1"/>
      <protection locked="0"/>
    </xf>
    <xf numFmtId="2" fontId="20" fillId="0" borderId="6" xfId="1" applyNumberFormat="1" applyFont="1" applyBorder="1" applyAlignment="1" applyProtection="1">
      <alignment horizontal="center" vertical="center" wrapText="1"/>
    </xf>
    <xf numFmtId="0" fontId="32" fillId="0" borderId="0" xfId="0" applyFont="1" applyAlignment="1">
      <alignment horizontal="center" wrapText="1"/>
    </xf>
    <xf numFmtId="2" fontId="22" fillId="0" borderId="8" xfId="3" applyNumberFormat="1" applyFont="1" applyBorder="1" applyAlignment="1">
      <alignment horizontal="center"/>
    </xf>
    <xf numFmtId="2" fontId="22" fillId="0" borderId="9" xfId="3" applyNumberFormat="1" applyFont="1" applyBorder="1" applyAlignment="1">
      <alignment horizontal="center"/>
    </xf>
    <xf numFmtId="2" fontId="22" fillId="0" borderId="18" xfId="3" applyNumberFormat="1" applyFont="1" applyBorder="1" applyAlignment="1">
      <alignment horizontal="center" wrapText="1"/>
    </xf>
    <xf numFmtId="2" fontId="22" fillId="0" borderId="19" xfId="3" applyNumberFormat="1" applyFont="1" applyBorder="1" applyAlignment="1">
      <alignment horizontal="center" wrapText="1"/>
    </xf>
    <xf numFmtId="2" fontId="17" fillId="0" borderId="8" xfId="3" applyNumberFormat="1" applyFont="1" applyBorder="1" applyAlignment="1" applyProtection="1">
      <alignment horizontal="center" wrapText="1"/>
      <protection locked="0"/>
    </xf>
    <xf numFmtId="2" fontId="17" fillId="0" borderId="9" xfId="3" applyNumberFormat="1" applyFont="1" applyBorder="1" applyAlignment="1" applyProtection="1">
      <alignment horizontal="center" wrapText="1"/>
      <protection locked="0"/>
    </xf>
    <xf numFmtId="0" fontId="20" fillId="0" borderId="6" xfId="0" applyFont="1" applyBorder="1" applyAlignment="1">
      <alignment horizontal="center" vertical="center" wrapText="1"/>
    </xf>
    <xf numFmtId="0" fontId="21" fillId="0" borderId="6" xfId="0" applyFont="1" applyBorder="1" applyAlignment="1">
      <alignment horizontal="right" vertical="center" wrapText="1"/>
    </xf>
    <xf numFmtId="0" fontId="19" fillId="0" borderId="6" xfId="0" applyFont="1" applyBorder="1" applyAlignment="1">
      <alignment horizontal="center" vertical="center"/>
    </xf>
    <xf numFmtId="0" fontId="21" fillId="0" borderId="17" xfId="0" applyFont="1" applyBorder="1" applyAlignment="1">
      <alignment horizontal="right" vertical="center" wrapText="1"/>
    </xf>
    <xf numFmtId="0" fontId="23" fillId="0" borderId="6" xfId="0" applyFont="1" applyBorder="1" applyAlignment="1">
      <alignment horizontal="center" vertical="center" wrapText="1"/>
    </xf>
    <xf numFmtId="0" fontId="20" fillId="0" borderId="6" xfId="1" applyNumberFormat="1" applyFont="1" applyBorder="1" applyAlignment="1" applyProtection="1">
      <alignment horizontal="center" vertical="center" wrapText="1"/>
    </xf>
    <xf numFmtId="0" fontId="16" fillId="0" borderId="6" xfId="0" applyFont="1" applyBorder="1" applyAlignment="1" applyProtection="1">
      <alignment horizontal="center" vertical="center" wrapText="1"/>
      <protection locked="0"/>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1" xfId="0" applyFont="1" applyBorder="1" applyAlignment="1">
      <alignment horizontal="left" vertical="center" wrapText="1"/>
    </xf>
    <xf numFmtId="165" fontId="30" fillId="0" borderId="0" xfId="0" applyNumberFormat="1" applyFont="1" applyAlignment="1">
      <alignment horizontal="center"/>
    </xf>
    <xf numFmtId="165" fontId="20" fillId="0" borderId="0" xfId="0" applyNumberFormat="1" applyFont="1" applyAlignment="1">
      <alignment horizontal="center" vertical="center"/>
    </xf>
    <xf numFmtId="2" fontId="30" fillId="0" borderId="0" xfId="3" applyNumberFormat="1" applyFont="1" applyAlignment="1">
      <alignment horizontal="left"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2" fontId="30" fillId="0" borderId="0" xfId="0" applyNumberFormat="1" applyFont="1" applyAlignment="1">
      <alignment horizontal="center"/>
    </xf>
    <xf numFmtId="2" fontId="35" fillId="0" borderId="0" xfId="0" applyNumberFormat="1" applyFont="1" applyAlignment="1">
      <alignment horizontal="left" vertical="center"/>
    </xf>
    <xf numFmtId="0" fontId="35" fillId="0" borderId="1" xfId="0" applyFont="1" applyBorder="1" applyAlignment="1">
      <alignment horizontal="left" vertical="center"/>
    </xf>
    <xf numFmtId="0" fontId="23" fillId="0" borderId="2" xfId="0" applyFont="1" applyBorder="1" applyAlignment="1">
      <alignment horizontal="center" vertical="center" wrapText="1"/>
    </xf>
    <xf numFmtId="0" fontId="23" fillId="0" borderId="10" xfId="0" applyFont="1" applyBorder="1" applyAlignment="1">
      <alignment horizontal="center" vertical="center" wrapText="1"/>
    </xf>
    <xf numFmtId="0" fontId="16" fillId="0" borderId="11"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9" fillId="0" borderId="6" xfId="0" applyFont="1" applyBorder="1" applyAlignment="1">
      <alignment horizontal="center"/>
    </xf>
    <xf numFmtId="0" fontId="22" fillId="0" borderId="6" xfId="2" applyFont="1" applyBorder="1" applyAlignment="1">
      <alignment horizontal="center"/>
    </xf>
    <xf numFmtId="2" fontId="17" fillId="0" borderId="0" xfId="0" applyNumberFormat="1" applyFont="1" applyAlignment="1" applyProtection="1">
      <alignment horizontal="center" vertical="center"/>
      <protection locked="0"/>
    </xf>
    <xf numFmtId="2" fontId="38" fillId="0" borderId="0" xfId="0" applyNumberFormat="1" applyFont="1" applyAlignment="1" applyProtection="1">
      <alignment horizontal="center"/>
      <protection locked="0"/>
    </xf>
  </cellXfs>
  <cellStyles count="4">
    <cellStyle name="Comma" xfId="1" builtinId="3"/>
    <cellStyle name="Normal" xfId="0" builtinId="0"/>
    <cellStyle name="Normal 2 2" xfId="2"/>
    <cellStyle name="Normal_COMPOUND WALL"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Rushi\Desktop\Khokhar\Modasa%20B%20V%20Shah\Slab%20Drain\ESTRWB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41"/>
  <sheetViews>
    <sheetView view="pageBreakPreview" topLeftCell="A35" zoomScale="115" zoomScaleNormal="100" zoomScaleSheetLayoutView="115" workbookViewId="0">
      <selection activeCell="I40" sqref="A1:I40"/>
    </sheetView>
  </sheetViews>
  <sheetFormatPr defaultColWidth="9.109375" defaultRowHeight="13.2"/>
  <cols>
    <col min="1" max="3" width="12.88671875" style="19" customWidth="1"/>
    <col min="4" max="7" width="9.109375" style="19"/>
    <col min="8" max="8" width="14.6640625" style="19" customWidth="1"/>
    <col min="9" max="16384" width="9.109375" style="19"/>
  </cols>
  <sheetData>
    <row r="1" spans="1:17" ht="21.6" thickBot="1">
      <c r="A1" s="156" t="s">
        <v>59</v>
      </c>
      <c r="B1" s="157"/>
      <c r="C1" s="157"/>
      <c r="D1" s="157"/>
      <c r="E1" s="157"/>
      <c r="F1" s="157"/>
      <c r="G1" s="157"/>
      <c r="H1" s="157"/>
      <c r="I1" s="158"/>
    </row>
    <row r="2" spans="1:17" ht="25.2" customHeight="1">
      <c r="A2" s="159" t="s">
        <v>5</v>
      </c>
      <c r="B2" s="160"/>
      <c r="C2" s="160"/>
      <c r="D2" s="1" t="s">
        <v>60</v>
      </c>
      <c r="E2" s="1"/>
      <c r="F2" s="30" t="s">
        <v>84</v>
      </c>
      <c r="G2" s="1" t="s">
        <v>61</v>
      </c>
      <c r="H2" s="1"/>
      <c r="I2" s="31" t="s">
        <v>84</v>
      </c>
      <c r="J2" s="185"/>
      <c r="K2" s="186"/>
      <c r="L2" s="186"/>
      <c r="M2" s="186"/>
      <c r="N2" s="186"/>
      <c r="O2" s="186"/>
    </row>
    <row r="3" spans="1:17" ht="15">
      <c r="A3" s="32"/>
      <c r="B3" s="29"/>
      <c r="C3" s="29"/>
      <c r="D3" s="33"/>
      <c r="E3" s="2"/>
      <c r="F3" s="22"/>
      <c r="G3" s="2"/>
      <c r="H3" s="2"/>
      <c r="I3" s="34"/>
    </row>
    <row r="4" spans="1:17" ht="15">
      <c r="A4" s="159" t="s">
        <v>6</v>
      </c>
      <c r="B4" s="160"/>
      <c r="C4" s="160"/>
      <c r="D4" s="1" t="s">
        <v>62</v>
      </c>
      <c r="E4" s="1"/>
      <c r="F4" s="30" t="s">
        <v>84</v>
      </c>
      <c r="G4" s="1" t="s">
        <v>64</v>
      </c>
      <c r="H4" s="1"/>
      <c r="I4" s="31" t="s">
        <v>84</v>
      </c>
      <c r="J4" s="191"/>
      <c r="K4" s="191"/>
      <c r="L4" s="191"/>
      <c r="M4" s="191"/>
      <c r="N4" s="191"/>
      <c r="O4" s="191"/>
    </row>
    <row r="5" spans="1:17" ht="15">
      <c r="A5" s="32"/>
      <c r="B5" s="29"/>
      <c r="C5" s="29"/>
      <c r="D5" s="1" t="s">
        <v>63</v>
      </c>
      <c r="E5" s="2"/>
      <c r="F5" s="30" t="s">
        <v>84</v>
      </c>
      <c r="G5" s="1"/>
      <c r="H5" s="2"/>
      <c r="I5" s="35"/>
    </row>
    <row r="6" spans="1:17" ht="15">
      <c r="A6" s="159" t="s">
        <v>7</v>
      </c>
      <c r="B6" s="160"/>
      <c r="C6" s="160"/>
      <c r="D6" s="2"/>
      <c r="E6" s="2"/>
      <c r="F6" s="2"/>
      <c r="G6" s="2"/>
      <c r="H6" s="2"/>
      <c r="I6" s="35"/>
    </row>
    <row r="7" spans="1:17" ht="15">
      <c r="A7" s="32"/>
      <c r="B7" s="29"/>
      <c r="C7" s="29"/>
      <c r="D7" s="2"/>
      <c r="E7" s="2"/>
      <c r="F7" s="2"/>
      <c r="G7" s="2"/>
      <c r="H7" s="2"/>
      <c r="I7" s="35"/>
    </row>
    <row r="8" spans="1:17" ht="20.25" customHeight="1">
      <c r="A8" s="161" t="s">
        <v>8</v>
      </c>
      <c r="B8" s="162"/>
      <c r="C8" s="162"/>
      <c r="D8" s="174" t="s">
        <v>57</v>
      </c>
      <c r="E8" s="174"/>
      <c r="F8" s="174"/>
      <c r="G8" s="174"/>
      <c r="H8" s="174"/>
      <c r="I8" s="175"/>
      <c r="J8" s="24"/>
      <c r="L8" s="25"/>
      <c r="M8" s="26"/>
      <c r="N8" s="24"/>
    </row>
    <row r="9" spans="1:17" ht="15">
      <c r="A9" s="32"/>
      <c r="B9" s="29"/>
      <c r="C9" s="29"/>
      <c r="D9" s="174"/>
      <c r="E9" s="174"/>
      <c r="F9" s="174"/>
      <c r="G9" s="174"/>
      <c r="H9" s="174"/>
      <c r="I9" s="175"/>
    </row>
    <row r="10" spans="1:17" ht="15">
      <c r="A10" s="159" t="s">
        <v>9</v>
      </c>
      <c r="B10" s="160"/>
      <c r="C10" s="160"/>
      <c r="D10" s="2"/>
      <c r="E10" s="2"/>
      <c r="F10" s="2"/>
      <c r="G10" s="2"/>
      <c r="H10" s="2"/>
      <c r="I10" s="35"/>
    </row>
    <row r="11" spans="1:17" ht="15">
      <c r="A11" s="32"/>
      <c r="B11" s="29"/>
      <c r="C11" s="29"/>
      <c r="D11" s="2"/>
      <c r="E11" s="2"/>
      <c r="F11" s="2"/>
      <c r="G11" s="2"/>
      <c r="H11" s="2"/>
      <c r="I11" s="35"/>
    </row>
    <row r="12" spans="1:17" ht="15">
      <c r="A12" s="159" t="s">
        <v>10</v>
      </c>
      <c r="B12" s="160"/>
      <c r="C12" s="160"/>
      <c r="D12" s="2"/>
      <c r="E12" s="2"/>
      <c r="F12" s="2"/>
      <c r="G12" s="2"/>
      <c r="H12" s="2"/>
      <c r="I12" s="35"/>
    </row>
    <row r="13" spans="1:17" ht="15">
      <c r="A13" s="32"/>
      <c r="B13" s="29"/>
      <c r="C13" s="29"/>
      <c r="D13" s="2"/>
      <c r="E13" s="2"/>
      <c r="F13" s="2"/>
      <c r="G13" s="2"/>
      <c r="H13" s="2"/>
      <c r="I13" s="35"/>
    </row>
    <row r="14" spans="1:17" ht="15">
      <c r="A14" s="159" t="s">
        <v>11</v>
      </c>
      <c r="B14" s="160"/>
      <c r="C14" s="160"/>
      <c r="D14" s="2"/>
      <c r="E14" s="2"/>
      <c r="F14" s="2"/>
      <c r="G14" s="2"/>
      <c r="H14" s="2"/>
      <c r="I14" s="35"/>
      <c r="M14" s="164"/>
      <c r="N14" s="164"/>
      <c r="O14" s="164"/>
      <c r="P14" s="164"/>
      <c r="Q14" s="164"/>
    </row>
    <row r="15" spans="1:17" ht="15">
      <c r="A15" s="32"/>
      <c r="B15" s="29"/>
      <c r="C15" s="29"/>
      <c r="D15" s="2"/>
      <c r="E15" s="2"/>
      <c r="F15" s="2"/>
      <c r="G15" s="2"/>
      <c r="H15" s="2"/>
      <c r="I15" s="35"/>
      <c r="M15" s="164"/>
      <c r="N15" s="164"/>
      <c r="O15" s="164"/>
      <c r="P15" s="164"/>
      <c r="Q15" s="164"/>
    </row>
    <row r="16" spans="1:17" ht="15">
      <c r="A16" s="159" t="s">
        <v>12</v>
      </c>
      <c r="B16" s="160"/>
      <c r="C16" s="160"/>
      <c r="D16" s="2"/>
      <c r="E16" s="2"/>
      <c r="F16" s="2"/>
      <c r="G16" s="2"/>
      <c r="H16" s="2"/>
      <c r="I16" s="35"/>
      <c r="M16" s="164"/>
      <c r="N16" s="164"/>
      <c r="O16" s="164"/>
      <c r="P16" s="164"/>
      <c r="Q16" s="164"/>
    </row>
    <row r="17" spans="1:18" ht="15">
      <c r="A17" s="32"/>
      <c r="B17" s="29"/>
      <c r="C17" s="29"/>
      <c r="D17" s="2"/>
      <c r="E17" s="2"/>
      <c r="F17" s="2"/>
      <c r="G17" s="2"/>
      <c r="H17" s="2"/>
      <c r="I17" s="35"/>
    </row>
    <row r="18" spans="1:18" s="20" customFormat="1" ht="15">
      <c r="A18" s="193" t="s">
        <v>65</v>
      </c>
      <c r="B18" s="194"/>
      <c r="C18" s="194"/>
      <c r="D18" s="194"/>
      <c r="E18" s="194"/>
      <c r="F18" s="194"/>
      <c r="G18" s="194"/>
      <c r="H18" s="195" t="s">
        <v>83</v>
      </c>
      <c r="I18" s="196"/>
      <c r="J18" s="179"/>
      <c r="K18" s="179"/>
      <c r="L18" s="179"/>
      <c r="M18" s="179"/>
      <c r="N18" s="179"/>
      <c r="O18" s="179"/>
      <c r="P18" s="179"/>
      <c r="Q18" s="179"/>
      <c r="R18" s="179"/>
    </row>
    <row r="19" spans="1:18">
      <c r="A19" s="176" t="s">
        <v>66</v>
      </c>
      <c r="B19" s="177"/>
      <c r="C19" s="177"/>
      <c r="D19" s="177"/>
      <c r="E19" s="177"/>
      <c r="F19" s="177"/>
      <c r="G19" s="177"/>
      <c r="H19" s="177"/>
      <c r="I19" s="178"/>
    </row>
    <row r="20" spans="1:18" ht="47.25" customHeight="1">
      <c r="A20" s="189" t="s">
        <v>40</v>
      </c>
      <c r="B20" s="190"/>
      <c r="C20" s="174" t="s">
        <v>105</v>
      </c>
      <c r="D20" s="174"/>
      <c r="E20" s="174"/>
      <c r="F20" s="174"/>
      <c r="G20" s="174"/>
      <c r="H20" s="174"/>
      <c r="I20" s="175"/>
    </row>
    <row r="21" spans="1:18" ht="17.25" customHeight="1">
      <c r="A21" s="187" t="s">
        <v>13</v>
      </c>
      <c r="B21" s="188"/>
      <c r="C21" s="188"/>
      <c r="D21" s="188"/>
      <c r="E21" s="188"/>
      <c r="F21" s="188"/>
      <c r="G21" s="192">
        <v>100000</v>
      </c>
      <c r="H21" s="192"/>
      <c r="I21" s="36"/>
    </row>
    <row r="22" spans="1:18" ht="15">
      <c r="A22" s="37" t="s">
        <v>14</v>
      </c>
      <c r="B22" s="2"/>
      <c r="C22" s="2"/>
      <c r="D22" s="2"/>
      <c r="E22" s="2"/>
      <c r="F22" s="2"/>
      <c r="G22" s="2"/>
      <c r="H22" s="2"/>
      <c r="I22" s="35"/>
    </row>
    <row r="23" spans="1:18" ht="15">
      <c r="A23" s="37"/>
      <c r="B23" s="2"/>
      <c r="C23" s="2"/>
      <c r="D23" s="2" t="s">
        <v>15</v>
      </c>
      <c r="E23" s="2"/>
      <c r="F23" s="2"/>
      <c r="G23" s="2"/>
      <c r="H23" s="2"/>
      <c r="I23" s="35"/>
    </row>
    <row r="24" spans="1:18" ht="15">
      <c r="A24" s="37"/>
      <c r="B24" s="2"/>
      <c r="C24" s="2"/>
      <c r="D24" s="2"/>
      <c r="E24" s="2"/>
      <c r="F24" s="2"/>
      <c r="G24" s="2"/>
      <c r="H24" s="2"/>
      <c r="I24" s="35"/>
    </row>
    <row r="25" spans="1:18" ht="15">
      <c r="A25" s="37" t="s">
        <v>16</v>
      </c>
      <c r="B25" s="2"/>
      <c r="C25" s="2"/>
      <c r="D25" s="2"/>
      <c r="E25" s="2"/>
      <c r="F25" s="2"/>
      <c r="G25" s="2"/>
      <c r="H25" s="2"/>
      <c r="I25" s="35"/>
    </row>
    <row r="26" spans="1:18" ht="15">
      <c r="A26" s="37"/>
      <c r="B26" s="2"/>
      <c r="C26" s="2"/>
      <c r="D26" s="2" t="s">
        <v>17</v>
      </c>
      <c r="E26" s="2"/>
      <c r="F26" s="2"/>
      <c r="G26" s="2"/>
      <c r="H26" s="2"/>
      <c r="I26" s="35"/>
    </row>
    <row r="27" spans="1:18" ht="17.399999999999999">
      <c r="A27" s="37" t="s">
        <v>22</v>
      </c>
      <c r="B27" s="2"/>
      <c r="C27" s="2" t="s">
        <v>23</v>
      </c>
      <c r="D27" s="180" t="s">
        <v>85</v>
      </c>
      <c r="E27" s="180"/>
      <c r="F27" s="180"/>
      <c r="G27" s="180"/>
      <c r="H27" s="180"/>
      <c r="I27" s="181"/>
      <c r="J27" s="184"/>
      <c r="K27" s="184"/>
      <c r="L27" s="184"/>
      <c r="M27" s="184"/>
      <c r="N27" s="184"/>
      <c r="O27" s="184"/>
    </row>
    <row r="28" spans="1:18" ht="17.399999999999999">
      <c r="A28" s="37"/>
      <c r="B28" s="2"/>
      <c r="C28" s="2"/>
      <c r="D28" s="23"/>
      <c r="E28" s="23"/>
      <c r="F28" s="23"/>
      <c r="G28" s="23"/>
      <c r="H28" s="23"/>
      <c r="I28" s="38"/>
      <c r="J28" s="184"/>
      <c r="K28" s="184"/>
      <c r="L28" s="184"/>
      <c r="M28" s="184"/>
      <c r="N28" s="184"/>
      <c r="O28" s="184"/>
    </row>
    <row r="29" spans="1:18" ht="17.399999999999999">
      <c r="A29" s="37" t="s">
        <v>0</v>
      </c>
      <c r="B29" s="2"/>
      <c r="C29" s="2" t="str">
        <f>C27</f>
        <v>:</v>
      </c>
      <c r="D29" s="180" t="str">
        <f>D27</f>
        <v>Shree A.G.SUTHAR. A.A.E.</v>
      </c>
      <c r="E29" s="180"/>
      <c r="F29" s="180"/>
      <c r="G29" s="180"/>
      <c r="H29" s="180"/>
      <c r="I29" s="181"/>
    </row>
    <row r="30" spans="1:18" ht="15">
      <c r="A30" s="37"/>
      <c r="B30" s="2"/>
      <c r="C30" s="2"/>
      <c r="D30" s="2"/>
      <c r="E30" s="2"/>
      <c r="F30" s="2"/>
      <c r="G30" s="2"/>
      <c r="H30" s="2"/>
      <c r="I30" s="35"/>
    </row>
    <row r="31" spans="1:18" ht="15">
      <c r="A31" s="37" t="s">
        <v>18</v>
      </c>
      <c r="B31" s="2"/>
      <c r="C31" s="2"/>
      <c r="D31" s="171"/>
      <c r="E31" s="171"/>
      <c r="F31" s="171"/>
      <c r="G31" s="171"/>
      <c r="H31" s="171"/>
      <c r="I31" s="172"/>
    </row>
    <row r="32" spans="1:18" ht="15">
      <c r="A32" s="37"/>
      <c r="B32" s="2"/>
      <c r="C32" s="2"/>
      <c r="D32" s="2"/>
      <c r="E32" s="2"/>
      <c r="F32" s="2"/>
      <c r="G32" s="2"/>
      <c r="H32" s="2"/>
      <c r="I32" s="35"/>
    </row>
    <row r="33" spans="1:22" ht="21.75" customHeight="1">
      <c r="A33" s="165" t="s">
        <v>81</v>
      </c>
      <c r="B33" s="166"/>
      <c r="C33" s="166"/>
      <c r="D33" s="166"/>
      <c r="E33" s="166"/>
      <c r="F33" s="166"/>
      <c r="G33" s="166"/>
      <c r="H33" s="166"/>
      <c r="I33" s="167"/>
    </row>
    <row r="34" spans="1:22" ht="41.25" customHeight="1">
      <c r="A34" s="39" t="s">
        <v>38</v>
      </c>
      <c r="B34" s="40">
        <v>18</v>
      </c>
      <c r="C34" s="182" t="s">
        <v>58</v>
      </c>
      <c r="D34" s="182"/>
      <c r="E34" s="182"/>
      <c r="F34" s="182"/>
      <c r="G34" s="182"/>
      <c r="H34" s="182"/>
      <c r="I34" s="183"/>
      <c r="J34" s="27"/>
    </row>
    <row r="35" spans="1:22" ht="98.25" customHeight="1">
      <c r="A35" s="168" t="s">
        <v>80</v>
      </c>
      <c r="B35" s="169"/>
      <c r="C35" s="169"/>
      <c r="D35" s="169"/>
      <c r="E35" s="169"/>
      <c r="F35" s="169"/>
      <c r="G35" s="169"/>
      <c r="H35" s="169"/>
      <c r="I35" s="170"/>
      <c r="K35" s="173"/>
      <c r="L35" s="173"/>
      <c r="M35" s="173"/>
      <c r="N35" s="173"/>
      <c r="O35" s="173"/>
      <c r="P35" s="173"/>
      <c r="Q35" s="173"/>
      <c r="R35" s="28"/>
      <c r="S35" s="28"/>
      <c r="T35" s="28"/>
      <c r="U35" s="28"/>
      <c r="V35" s="28"/>
    </row>
    <row r="36" spans="1:22" ht="15">
      <c r="A36" s="37"/>
      <c r="B36" s="2"/>
      <c r="C36" s="2"/>
      <c r="D36" s="2"/>
      <c r="E36" s="2"/>
      <c r="F36" s="2"/>
      <c r="G36" s="2"/>
      <c r="H36" s="2"/>
      <c r="I36" s="35"/>
      <c r="K36" s="173"/>
      <c r="L36" s="173"/>
      <c r="M36" s="173"/>
      <c r="N36" s="173"/>
      <c r="O36" s="173"/>
      <c r="P36" s="173"/>
      <c r="Q36" s="173"/>
      <c r="R36" s="28"/>
      <c r="S36" s="28"/>
      <c r="T36" s="28"/>
      <c r="U36" s="28"/>
      <c r="V36" s="28"/>
    </row>
    <row r="37" spans="1:22" ht="15" customHeight="1">
      <c r="A37" s="41"/>
      <c r="B37" s="1"/>
      <c r="C37" s="1"/>
      <c r="D37" s="2"/>
      <c r="E37" s="2"/>
      <c r="F37" s="42"/>
      <c r="G37" s="42"/>
      <c r="H37" s="42"/>
      <c r="I37" s="43"/>
      <c r="K37" s="173"/>
      <c r="L37" s="173"/>
      <c r="M37" s="173"/>
      <c r="N37" s="173"/>
      <c r="O37" s="173"/>
      <c r="P37" s="173"/>
      <c r="Q37" s="173"/>
      <c r="R37" s="28"/>
      <c r="S37" s="28"/>
      <c r="T37" s="28"/>
      <c r="U37" s="28"/>
      <c r="V37" s="28"/>
    </row>
    <row r="38" spans="1:22" ht="15" customHeight="1">
      <c r="A38" s="41"/>
      <c r="B38" s="1"/>
      <c r="C38" s="1"/>
      <c r="D38" s="2"/>
      <c r="E38" s="2"/>
      <c r="F38" s="163" t="s">
        <v>39</v>
      </c>
      <c r="G38" s="163"/>
      <c r="H38" s="163"/>
      <c r="I38" s="43"/>
    </row>
    <row r="39" spans="1:22" ht="15.6">
      <c r="A39" s="41"/>
      <c r="B39" s="1"/>
      <c r="C39" s="1"/>
      <c r="D39" s="2"/>
      <c r="E39" s="2"/>
      <c r="F39" s="42"/>
      <c r="G39" s="44" t="s">
        <v>37</v>
      </c>
      <c r="H39" s="42"/>
      <c r="I39" s="43"/>
    </row>
    <row r="40" spans="1:22" ht="15.6">
      <c r="A40" s="45"/>
      <c r="B40" s="46"/>
      <c r="C40" s="46"/>
      <c r="D40" s="46"/>
      <c r="E40" s="46"/>
      <c r="F40" s="46"/>
      <c r="G40" s="47" t="str">
        <f>H18</f>
        <v>VASO</v>
      </c>
      <c r="H40" s="46"/>
      <c r="I40" s="48"/>
    </row>
    <row r="41" spans="1:22">
      <c r="A41" s="21"/>
      <c r="B41" s="21"/>
      <c r="C41" s="21"/>
      <c r="D41" s="21"/>
      <c r="E41" s="21"/>
      <c r="F41" s="21"/>
      <c r="G41" s="21"/>
      <c r="H41" s="21"/>
      <c r="I41" s="21"/>
    </row>
  </sheetData>
  <mergeCells count="33">
    <mergeCell ref="D27:I27"/>
    <mergeCell ref="J2:O2"/>
    <mergeCell ref="A14:C14"/>
    <mergeCell ref="D8:I9"/>
    <mergeCell ref="A21:F21"/>
    <mergeCell ref="A20:B20"/>
    <mergeCell ref="J4:O4"/>
    <mergeCell ref="G21:H21"/>
    <mergeCell ref="A18:G18"/>
    <mergeCell ref="H18:I18"/>
    <mergeCell ref="F38:H38"/>
    <mergeCell ref="M16:Q16"/>
    <mergeCell ref="M14:Q14"/>
    <mergeCell ref="A33:I33"/>
    <mergeCell ref="A35:I35"/>
    <mergeCell ref="A16:C16"/>
    <mergeCell ref="D31:I31"/>
    <mergeCell ref="M15:Q15"/>
    <mergeCell ref="K35:Q37"/>
    <mergeCell ref="C20:I20"/>
    <mergeCell ref="A19:I19"/>
    <mergeCell ref="J18:R18"/>
    <mergeCell ref="D29:I29"/>
    <mergeCell ref="C34:I34"/>
    <mergeCell ref="J28:O28"/>
    <mergeCell ref="J27:O27"/>
    <mergeCell ref="A1:I1"/>
    <mergeCell ref="A2:C2"/>
    <mergeCell ref="A8:C8"/>
    <mergeCell ref="A10:C10"/>
    <mergeCell ref="A12:C12"/>
    <mergeCell ref="A4:C4"/>
    <mergeCell ref="A6:C6"/>
  </mergeCells>
  <phoneticPr fontId="0" type="noConversion"/>
  <printOptions horizontalCentered="1"/>
  <pageMargins left="0.39370078740157483" right="0.39370078740157483" top="0.59055118110236227" bottom="0.39370078740157483" header="0.51181102362204722" footer="0.51181102362204722"/>
  <pageSetup paperSize="9" scale="98"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66"/>
  <sheetViews>
    <sheetView view="pageBreakPreview" topLeftCell="A20" zoomScale="90" zoomScaleNormal="100" zoomScaleSheetLayoutView="90" workbookViewId="0">
      <selection activeCell="C29" sqref="C29"/>
    </sheetView>
  </sheetViews>
  <sheetFormatPr defaultColWidth="9.109375" defaultRowHeight="15.6"/>
  <cols>
    <col min="1" max="1" width="11.6640625" style="18" customWidth="1"/>
    <col min="2" max="2" width="9.33203125" style="18" customWidth="1"/>
    <col min="3" max="3" width="56.5546875" style="51" customWidth="1"/>
    <col min="4" max="4" width="11.33203125" style="18" customWidth="1"/>
    <col min="5" max="5" width="10" style="51" customWidth="1"/>
    <col min="6" max="6" width="14.6640625" style="18" bestFit="1" customWidth="1"/>
    <col min="7" max="7" width="9.109375" style="51"/>
    <col min="8" max="8" width="9.5546875" style="51" bestFit="1" customWidth="1"/>
    <col min="9" max="9" width="12.88671875" style="51" bestFit="1" customWidth="1"/>
    <col min="10" max="10" width="9.109375" style="51"/>
    <col min="11" max="11" width="12.6640625" style="51" bestFit="1" customWidth="1"/>
    <col min="12" max="15" width="9.109375" style="51"/>
    <col min="16" max="16" width="9.5546875" style="51" bestFit="1" customWidth="1"/>
    <col min="17" max="16384" width="9.109375" style="51"/>
  </cols>
  <sheetData>
    <row r="1" spans="1:9" ht="21">
      <c r="A1" s="209" t="s">
        <v>33</v>
      </c>
      <c r="B1" s="209"/>
      <c r="C1" s="209"/>
      <c r="D1" s="209"/>
      <c r="E1" s="209"/>
      <c r="F1" s="209"/>
      <c r="G1" s="50"/>
      <c r="H1" s="50"/>
    </row>
    <row r="2" spans="1:9" ht="35.25" customHeight="1">
      <c r="A2" s="211" t="str">
        <f>Estimate!A20</f>
        <v xml:space="preserve">કામ નું નામ :- </v>
      </c>
      <c r="B2" s="211"/>
      <c r="C2" s="213" t="str">
        <f>Estimate!C20</f>
        <v xml:space="preserve">વસો ગામે ગામની મુખ્ય પાણી ની પાઈપ  લાઇનનું કામ. </v>
      </c>
      <c r="D2" s="213"/>
      <c r="E2" s="213"/>
      <c r="F2" s="213"/>
    </row>
    <row r="3" spans="1:9" s="52" customFormat="1" ht="55.2">
      <c r="A3" s="8" t="s">
        <v>1</v>
      </c>
      <c r="B3" s="8" t="s">
        <v>29</v>
      </c>
      <c r="C3" s="8" t="s">
        <v>2</v>
      </c>
      <c r="D3" s="8" t="s">
        <v>31</v>
      </c>
      <c r="E3" s="8" t="s">
        <v>3</v>
      </c>
      <c r="F3" s="8" t="s">
        <v>4</v>
      </c>
    </row>
    <row r="4" spans="1:9" s="54" customFormat="1" ht="45">
      <c r="A4" s="198">
        <f>Measurement!K6</f>
        <v>0</v>
      </c>
      <c r="B4" s="212" t="s">
        <v>28</v>
      </c>
      <c r="C4" s="53" t="s">
        <v>86</v>
      </c>
      <c r="D4" s="199">
        <v>202.2</v>
      </c>
      <c r="E4" s="197" t="str">
        <f>B4</f>
        <v>Smt</v>
      </c>
      <c r="F4" s="198">
        <f>A4*D4</f>
        <v>0</v>
      </c>
      <c r="I4" s="55"/>
    </row>
    <row r="5" spans="1:9" s="54" customFormat="1">
      <c r="A5" s="198"/>
      <c r="B5" s="212"/>
      <c r="C5" s="56"/>
      <c r="D5" s="199"/>
      <c r="E5" s="197"/>
      <c r="F5" s="198"/>
      <c r="H5" s="54">
        <f>1020.6</f>
        <v>1020.6</v>
      </c>
      <c r="I5" s="55"/>
    </row>
    <row r="6" spans="1:9" s="54" customFormat="1" ht="75">
      <c r="A6" s="198">
        <f>Measurement!K13</f>
        <v>149.85000000000002</v>
      </c>
      <c r="B6" s="212" t="s">
        <v>27</v>
      </c>
      <c r="C6" s="53" t="s">
        <v>90</v>
      </c>
      <c r="D6" s="199">
        <v>89</v>
      </c>
      <c r="E6" s="197" t="str">
        <f>B6</f>
        <v>Cum</v>
      </c>
      <c r="F6" s="198">
        <f>A6*D6</f>
        <v>13336.650000000001</v>
      </c>
      <c r="H6" s="54">
        <f>H5*1%</f>
        <v>10.206000000000001</v>
      </c>
      <c r="I6" s="55"/>
    </row>
    <row r="7" spans="1:9" s="54" customFormat="1">
      <c r="A7" s="198"/>
      <c r="B7" s="212"/>
      <c r="C7" s="56" t="s">
        <v>87</v>
      </c>
      <c r="D7" s="199"/>
      <c r="E7" s="197"/>
      <c r="F7" s="198"/>
      <c r="H7" s="54">
        <f>H5+H6</f>
        <v>1030.806</v>
      </c>
      <c r="I7" s="55"/>
    </row>
    <row r="8" spans="1:9" s="54" customFormat="1" ht="120">
      <c r="A8" s="198"/>
      <c r="B8" s="212"/>
      <c r="C8" s="53" t="s">
        <v>91</v>
      </c>
      <c r="D8" s="199"/>
      <c r="E8" s="197"/>
      <c r="F8" s="198"/>
      <c r="I8" s="55"/>
    </row>
    <row r="9" spans="1:9" s="54" customFormat="1">
      <c r="A9" s="198"/>
      <c r="B9" s="212"/>
      <c r="C9" s="56" t="s">
        <v>88</v>
      </c>
      <c r="D9" s="199"/>
      <c r="E9" s="197"/>
      <c r="F9" s="198"/>
    </row>
    <row r="10" spans="1:9" s="54" customFormat="1">
      <c r="A10" s="66">
        <f>Measurement!K17</f>
        <v>0</v>
      </c>
      <c r="B10" s="57" t="s">
        <v>26</v>
      </c>
      <c r="C10" s="56" t="s">
        <v>95</v>
      </c>
      <c r="D10" s="58">
        <v>69</v>
      </c>
      <c r="E10" s="59" t="s">
        <v>26</v>
      </c>
      <c r="F10" s="67">
        <f>A10*D10</f>
        <v>0</v>
      </c>
    </row>
    <row r="11" spans="1:9" s="54" customFormat="1">
      <c r="A11" s="66">
        <f>Measurement!K18</f>
        <v>0</v>
      </c>
      <c r="B11" s="57" t="s">
        <v>26</v>
      </c>
      <c r="C11" s="56" t="s">
        <v>96</v>
      </c>
      <c r="D11" s="58">
        <v>96</v>
      </c>
      <c r="E11" s="59" t="s">
        <v>26</v>
      </c>
      <c r="F11" s="67">
        <f>A11*D11</f>
        <v>0</v>
      </c>
    </row>
    <row r="12" spans="1:9" s="54" customFormat="1">
      <c r="A12" s="66">
        <f>Measurement!K19</f>
        <v>200</v>
      </c>
      <c r="B12" s="57" t="s">
        <v>26</v>
      </c>
      <c r="C12" s="56" t="s">
        <v>97</v>
      </c>
      <c r="D12" s="58">
        <v>139</v>
      </c>
      <c r="E12" s="59" t="s">
        <v>26</v>
      </c>
      <c r="F12" s="67">
        <f>A12*D12</f>
        <v>27800</v>
      </c>
    </row>
    <row r="13" spans="1:9" s="54" customFormat="1">
      <c r="A13" s="66">
        <f>Measurement!K20</f>
        <v>170</v>
      </c>
      <c r="B13" s="57" t="s">
        <v>26</v>
      </c>
      <c r="C13" s="56" t="s">
        <v>98</v>
      </c>
      <c r="D13" s="58">
        <v>199</v>
      </c>
      <c r="E13" s="59" t="s">
        <v>26</v>
      </c>
      <c r="F13" s="67">
        <f>A13*D13</f>
        <v>33830</v>
      </c>
    </row>
    <row r="14" spans="1:9" s="54" customFormat="1" ht="75">
      <c r="A14" s="198"/>
      <c r="B14" s="207"/>
      <c r="C14" s="53" t="s">
        <v>92</v>
      </c>
      <c r="D14" s="199"/>
      <c r="E14" s="197"/>
      <c r="F14" s="198"/>
    </row>
    <row r="15" spans="1:9" s="54" customFormat="1">
      <c r="A15" s="198"/>
      <c r="B15" s="207"/>
      <c r="C15" s="56" t="s">
        <v>68</v>
      </c>
      <c r="D15" s="199"/>
      <c r="E15" s="197"/>
      <c r="F15" s="198"/>
    </row>
    <row r="16" spans="1:9" s="54" customFormat="1">
      <c r="A16" s="66">
        <f>Measurement!K23</f>
        <v>0</v>
      </c>
      <c r="B16" s="57" t="s">
        <v>26</v>
      </c>
      <c r="C16" s="56" t="s">
        <v>95</v>
      </c>
      <c r="D16" s="58">
        <v>12</v>
      </c>
      <c r="E16" s="59" t="s">
        <v>26</v>
      </c>
      <c r="F16" s="67">
        <f>A16*D16</f>
        <v>0</v>
      </c>
    </row>
    <row r="17" spans="1:7" s="54" customFormat="1">
      <c r="A17" s="66">
        <f>Measurement!K24</f>
        <v>0</v>
      </c>
      <c r="B17" s="57" t="s">
        <v>26</v>
      </c>
      <c r="C17" s="56" t="s">
        <v>96</v>
      </c>
      <c r="D17" s="58">
        <v>15</v>
      </c>
      <c r="E17" s="59" t="s">
        <v>26</v>
      </c>
      <c r="F17" s="67">
        <f>A17*D17</f>
        <v>0</v>
      </c>
    </row>
    <row r="18" spans="1:7" s="54" customFormat="1">
      <c r="A18" s="66">
        <f>Measurement!K25</f>
        <v>200</v>
      </c>
      <c r="B18" s="57" t="s">
        <v>26</v>
      </c>
      <c r="C18" s="56" t="s">
        <v>99</v>
      </c>
      <c r="D18" s="58">
        <v>17</v>
      </c>
      <c r="E18" s="59" t="s">
        <v>26</v>
      </c>
      <c r="F18" s="67">
        <f>A18*D18</f>
        <v>3400</v>
      </c>
    </row>
    <row r="19" spans="1:7" s="54" customFormat="1">
      <c r="A19" s="66">
        <f>Measurement!K26</f>
        <v>170</v>
      </c>
      <c r="B19" s="57" t="s">
        <v>26</v>
      </c>
      <c r="C19" s="56" t="s">
        <v>100</v>
      </c>
      <c r="D19" s="58">
        <v>19</v>
      </c>
      <c r="E19" s="59" t="s">
        <v>26</v>
      </c>
      <c r="F19" s="67">
        <f>A19*D19</f>
        <v>3230</v>
      </c>
    </row>
    <row r="20" spans="1:7" s="54" customFormat="1" ht="45">
      <c r="A20" s="198">
        <f>Measurement!K37</f>
        <v>146.96355500000001</v>
      </c>
      <c r="B20" s="207" t="s">
        <v>35</v>
      </c>
      <c r="C20" s="53" t="s">
        <v>93</v>
      </c>
      <c r="D20" s="3">
        <v>22</v>
      </c>
      <c r="E20" s="197" t="str">
        <f>B20</f>
        <v>Cmt</v>
      </c>
      <c r="F20" s="198">
        <f>TRUNC((D21*A20),2)</f>
        <v>3233.19</v>
      </c>
    </row>
    <row r="21" spans="1:7" s="54" customFormat="1">
      <c r="A21" s="198"/>
      <c r="B21" s="207"/>
      <c r="C21" s="56" t="s">
        <v>89</v>
      </c>
      <c r="D21" s="3">
        <f>D20</f>
        <v>22</v>
      </c>
      <c r="E21" s="197"/>
      <c r="F21" s="198"/>
    </row>
    <row r="22" spans="1:7" s="54" customFormat="1" ht="34.5" customHeight="1">
      <c r="A22" s="198">
        <f>Measurement!K41</f>
        <v>1</v>
      </c>
      <c r="B22" s="207" t="s">
        <v>30</v>
      </c>
      <c r="C22" s="53" t="s">
        <v>94</v>
      </c>
      <c r="D22" s="199">
        <v>306.14</v>
      </c>
      <c r="E22" s="197" t="str">
        <f>B22</f>
        <v>No</v>
      </c>
      <c r="F22" s="198">
        <f>D22*A22</f>
        <v>306.14</v>
      </c>
    </row>
    <row r="23" spans="1:7" s="54" customFormat="1" ht="30">
      <c r="A23" s="198"/>
      <c r="B23" s="207"/>
      <c r="C23" s="56" t="s">
        <v>69</v>
      </c>
      <c r="D23" s="199"/>
      <c r="E23" s="197"/>
      <c r="F23" s="198"/>
    </row>
    <row r="24" spans="1:7" s="60" customFormat="1" ht="15">
      <c r="A24" s="208" t="s">
        <v>21</v>
      </c>
      <c r="B24" s="208"/>
      <c r="C24" s="208"/>
      <c r="D24" s="208"/>
      <c r="E24" s="208"/>
      <c r="F24" s="9">
        <f>SUM(F4:F23)</f>
        <v>85135.98</v>
      </c>
    </row>
    <row r="25" spans="1:7" s="60" customFormat="1" ht="17.399999999999999">
      <c r="A25" s="208" t="s">
        <v>55</v>
      </c>
      <c r="B25" s="208"/>
      <c r="C25" s="208"/>
      <c r="D25" s="208"/>
      <c r="E25" s="208"/>
      <c r="F25" s="10">
        <f>F24*18%</f>
        <v>15324.4764</v>
      </c>
    </row>
    <row r="26" spans="1:7" s="60" customFormat="1" ht="15">
      <c r="A26" s="208" t="s">
        <v>21</v>
      </c>
      <c r="B26" s="208"/>
      <c r="C26" s="208"/>
      <c r="D26" s="208"/>
      <c r="E26" s="208"/>
      <c r="F26" s="9">
        <f>F24+F25</f>
        <v>100460.4564</v>
      </c>
    </row>
    <row r="27" spans="1:7" s="60" customFormat="1" ht="17.399999999999999">
      <c r="A27" s="210" t="s">
        <v>24</v>
      </c>
      <c r="B27" s="210"/>
      <c r="C27" s="208"/>
      <c r="D27" s="208"/>
      <c r="E27" s="208"/>
      <c r="F27" s="10">
        <f>Estimate!G21</f>
        <v>100000</v>
      </c>
    </row>
    <row r="28" spans="1:7" s="54" customFormat="1">
      <c r="A28" s="203" t="s">
        <v>36</v>
      </c>
      <c r="B28" s="204"/>
      <c r="C28" s="68"/>
      <c r="D28" s="69"/>
      <c r="E28" s="70"/>
      <c r="F28" s="73"/>
    </row>
    <row r="29" spans="1:7" s="54" customFormat="1">
      <c r="A29" s="201" t="s">
        <v>67</v>
      </c>
      <c r="B29" s="202"/>
      <c r="C29" s="71"/>
      <c r="D29" s="72"/>
      <c r="E29" s="72"/>
      <c r="F29" s="74"/>
      <c r="G29" s="61"/>
    </row>
    <row r="30" spans="1:7" s="54" customFormat="1">
      <c r="A30" s="205" t="str">
        <f>Estimate!G40</f>
        <v>VASO</v>
      </c>
      <c r="B30" s="206"/>
      <c r="C30" s="71"/>
      <c r="D30" s="72"/>
      <c r="E30" s="72"/>
      <c r="F30" s="74"/>
      <c r="G30" s="61"/>
    </row>
    <row r="31" spans="1:7" s="54" customFormat="1">
      <c r="A31" s="78"/>
      <c r="B31" s="79"/>
      <c r="C31" s="75"/>
      <c r="D31" s="76"/>
      <c r="E31" s="76"/>
      <c r="F31" s="77"/>
      <c r="G31" s="61"/>
    </row>
    <row r="32" spans="1:7" s="54" customFormat="1">
      <c r="A32" s="11"/>
      <c r="B32" s="11"/>
      <c r="C32" s="62"/>
      <c r="D32" s="12"/>
      <c r="E32" s="62"/>
      <c r="F32" s="13"/>
      <c r="G32" s="51"/>
    </row>
    <row r="33" spans="1:6" s="54" customFormat="1">
      <c r="A33" s="11"/>
      <c r="B33" s="11"/>
      <c r="C33" s="63"/>
      <c r="D33" s="14"/>
      <c r="E33" s="64"/>
      <c r="F33" s="15"/>
    </row>
    <row r="34" spans="1:6" s="54" customFormat="1">
      <c r="A34" s="11"/>
      <c r="B34" s="11"/>
      <c r="C34" s="63"/>
      <c r="D34" s="14"/>
      <c r="E34" s="64"/>
      <c r="F34" s="15"/>
    </row>
    <row r="35" spans="1:6" s="54" customFormat="1">
      <c r="A35" s="11"/>
      <c r="B35" s="11"/>
      <c r="C35" s="63"/>
      <c r="D35" s="200"/>
      <c r="E35" s="200"/>
      <c r="F35" s="200"/>
    </row>
    <row r="36" spans="1:6" s="54" customFormat="1">
      <c r="A36" s="11"/>
      <c r="B36" s="11"/>
      <c r="C36" s="63"/>
      <c r="D36" s="14"/>
      <c r="E36" s="65"/>
      <c r="F36" s="14"/>
    </row>
    <row r="37" spans="1:6" s="54" customFormat="1">
      <c r="A37" s="11"/>
      <c r="B37" s="11"/>
      <c r="C37" s="63"/>
      <c r="D37" s="14"/>
      <c r="E37" s="65"/>
      <c r="F37" s="14"/>
    </row>
    <row r="38" spans="1:6" s="54" customFormat="1">
      <c r="A38" s="11"/>
      <c r="B38" s="11"/>
      <c r="C38" s="63"/>
      <c r="D38" s="14"/>
      <c r="E38" s="65"/>
      <c r="F38" s="14"/>
    </row>
    <row r="39" spans="1:6" s="54" customFormat="1">
      <c r="A39" s="11"/>
      <c r="B39" s="11"/>
      <c r="C39" s="63"/>
      <c r="D39" s="14"/>
      <c r="E39" s="65"/>
      <c r="F39" s="14"/>
    </row>
    <row r="40" spans="1:6" s="54" customFormat="1">
      <c r="A40" s="11"/>
      <c r="B40" s="11"/>
      <c r="C40" s="63"/>
      <c r="D40" s="14"/>
      <c r="E40" s="65"/>
      <c r="F40" s="14"/>
    </row>
    <row r="41" spans="1:6" s="54" customFormat="1">
      <c r="A41" s="11"/>
      <c r="B41" s="11"/>
      <c r="C41" s="63"/>
      <c r="D41" s="14"/>
      <c r="E41" s="65"/>
      <c r="F41" s="14"/>
    </row>
    <row r="42" spans="1:6" s="54" customFormat="1">
      <c r="A42" s="11"/>
      <c r="B42" s="11"/>
      <c r="C42" s="63"/>
      <c r="D42" s="14"/>
      <c r="E42" s="65"/>
      <c r="F42" s="14"/>
    </row>
    <row r="43" spans="1:6" s="54" customFormat="1">
      <c r="A43" s="11"/>
      <c r="B43" s="11"/>
      <c r="C43" s="63"/>
      <c r="D43" s="14"/>
      <c r="E43" s="65"/>
      <c r="F43" s="14"/>
    </row>
    <row r="44" spans="1:6" s="54" customFormat="1">
      <c r="A44" s="11"/>
      <c r="B44" s="11"/>
      <c r="C44" s="63"/>
      <c r="D44" s="14"/>
      <c r="E44" s="65"/>
      <c r="F44" s="14"/>
    </row>
    <row r="45" spans="1:6" s="54" customFormat="1">
      <c r="A45" s="11"/>
      <c r="B45" s="11"/>
      <c r="C45" s="63"/>
      <c r="D45" s="14"/>
      <c r="E45" s="65"/>
      <c r="F45" s="14"/>
    </row>
    <row r="46" spans="1:6">
      <c r="A46" s="16"/>
      <c r="B46" s="16"/>
      <c r="C46" s="62"/>
      <c r="D46" s="13"/>
      <c r="E46" s="62"/>
      <c r="F46" s="13"/>
    </row>
    <row r="47" spans="1:6">
      <c r="A47" s="16"/>
      <c r="B47" s="16"/>
      <c r="C47" s="62"/>
      <c r="D47" s="13"/>
      <c r="E47" s="62"/>
      <c r="F47" s="13"/>
    </row>
    <row r="48" spans="1:6">
      <c r="A48" s="16"/>
      <c r="B48" s="16"/>
      <c r="C48" s="62"/>
      <c r="D48" s="13"/>
      <c r="E48" s="62"/>
      <c r="F48" s="13"/>
    </row>
    <row r="49" spans="1:6">
      <c r="A49" s="16"/>
      <c r="B49" s="16"/>
      <c r="C49" s="62"/>
      <c r="D49" s="13"/>
      <c r="E49" s="62"/>
      <c r="F49" s="13"/>
    </row>
    <row r="50" spans="1:6">
      <c r="A50" s="16"/>
      <c r="B50" s="16"/>
      <c r="C50" s="62"/>
      <c r="D50" s="13"/>
      <c r="E50" s="62"/>
      <c r="F50" s="13"/>
    </row>
    <row r="51" spans="1:6">
      <c r="A51" s="16"/>
      <c r="B51" s="16"/>
      <c r="C51" s="62"/>
      <c r="D51" s="13"/>
      <c r="E51" s="62"/>
      <c r="F51" s="13"/>
    </row>
    <row r="52" spans="1:6">
      <c r="A52" s="17"/>
      <c r="B52" s="17"/>
    </row>
    <row r="53" spans="1:6">
      <c r="A53" s="17"/>
      <c r="B53" s="17"/>
    </row>
    <row r="54" spans="1:6">
      <c r="A54" s="17"/>
      <c r="B54" s="17"/>
    </row>
    <row r="55" spans="1:6">
      <c r="A55" s="17"/>
      <c r="B55" s="17"/>
    </row>
    <row r="56" spans="1:6">
      <c r="A56" s="17"/>
      <c r="B56" s="17"/>
    </row>
    <row r="57" spans="1:6">
      <c r="A57" s="17"/>
      <c r="B57" s="17"/>
    </row>
    <row r="58" spans="1:6">
      <c r="A58" s="17"/>
      <c r="B58" s="17"/>
    </row>
    <row r="59" spans="1:6">
      <c r="A59" s="17"/>
      <c r="B59" s="17"/>
    </row>
    <row r="60" spans="1:6">
      <c r="A60" s="17"/>
      <c r="B60" s="17"/>
    </row>
    <row r="61" spans="1:6">
      <c r="A61" s="17"/>
      <c r="B61" s="17"/>
    </row>
    <row r="62" spans="1:6">
      <c r="A62" s="17"/>
      <c r="B62" s="17"/>
    </row>
    <row r="63" spans="1:6">
      <c r="A63" s="17"/>
      <c r="B63" s="17"/>
    </row>
    <row r="64" spans="1:6">
      <c r="A64" s="17"/>
      <c r="B64" s="17"/>
    </row>
    <row r="65" spans="1:2">
      <c r="A65" s="17"/>
      <c r="B65" s="17"/>
    </row>
    <row r="66" spans="1:2">
      <c r="A66" s="17"/>
      <c r="B66" s="17"/>
    </row>
    <row r="67" spans="1:2">
      <c r="A67" s="17"/>
      <c r="B67" s="17"/>
    </row>
    <row r="68" spans="1:2">
      <c r="A68" s="17"/>
      <c r="B68" s="17"/>
    </row>
    <row r="69" spans="1:2">
      <c r="A69" s="17"/>
      <c r="B69" s="17"/>
    </row>
    <row r="70" spans="1:2">
      <c r="A70" s="17"/>
      <c r="B70" s="17"/>
    </row>
    <row r="71" spans="1:2">
      <c r="A71" s="17"/>
      <c r="B71" s="17"/>
    </row>
    <row r="72" spans="1:2">
      <c r="A72" s="17"/>
      <c r="B72" s="17"/>
    </row>
    <row r="73" spans="1:2">
      <c r="A73" s="17"/>
      <c r="B73" s="17"/>
    </row>
    <row r="74" spans="1:2">
      <c r="A74" s="17"/>
      <c r="B74" s="17"/>
    </row>
    <row r="75" spans="1:2">
      <c r="A75" s="17"/>
      <c r="B75" s="17"/>
    </row>
    <row r="76" spans="1:2">
      <c r="A76" s="17"/>
      <c r="B76" s="17"/>
    </row>
    <row r="77" spans="1:2">
      <c r="A77" s="17"/>
      <c r="B77" s="17"/>
    </row>
    <row r="78" spans="1:2">
      <c r="A78" s="17"/>
      <c r="B78" s="17"/>
    </row>
    <row r="79" spans="1:2">
      <c r="A79" s="17"/>
      <c r="B79" s="17"/>
    </row>
    <row r="80" spans="1:2">
      <c r="A80" s="17"/>
      <c r="B80" s="17"/>
    </row>
    <row r="81" spans="1:2">
      <c r="A81" s="17"/>
      <c r="B81" s="17"/>
    </row>
    <row r="82" spans="1:2">
      <c r="A82" s="17"/>
      <c r="B82" s="17"/>
    </row>
    <row r="83" spans="1:2">
      <c r="A83" s="17"/>
      <c r="B83" s="17"/>
    </row>
    <row r="84" spans="1:2">
      <c r="A84" s="17"/>
      <c r="B84" s="17"/>
    </row>
    <row r="85" spans="1:2">
      <c r="A85" s="17"/>
      <c r="B85" s="17"/>
    </row>
    <row r="86" spans="1:2">
      <c r="A86" s="17"/>
      <c r="B86" s="17"/>
    </row>
    <row r="87" spans="1:2">
      <c r="A87" s="17"/>
      <c r="B87" s="17"/>
    </row>
    <row r="88" spans="1:2">
      <c r="A88" s="17"/>
      <c r="B88" s="17"/>
    </row>
    <row r="89" spans="1:2">
      <c r="A89" s="17"/>
      <c r="B89" s="17"/>
    </row>
    <row r="90" spans="1:2">
      <c r="A90" s="17"/>
      <c r="B90" s="17"/>
    </row>
    <row r="91" spans="1:2">
      <c r="A91" s="17"/>
      <c r="B91" s="17"/>
    </row>
    <row r="92" spans="1:2">
      <c r="A92" s="17"/>
      <c r="B92" s="17"/>
    </row>
    <row r="93" spans="1:2">
      <c r="A93" s="17"/>
      <c r="B93" s="17"/>
    </row>
    <row r="94" spans="1:2">
      <c r="A94" s="17"/>
      <c r="B94" s="17"/>
    </row>
    <row r="95" spans="1:2">
      <c r="A95" s="17"/>
      <c r="B95" s="17"/>
    </row>
    <row r="96" spans="1:2">
      <c r="A96" s="17"/>
      <c r="B96" s="17"/>
    </row>
    <row r="97" spans="1:2">
      <c r="A97" s="17"/>
      <c r="B97" s="17"/>
    </row>
    <row r="98" spans="1:2">
      <c r="A98" s="17"/>
      <c r="B98" s="17"/>
    </row>
    <row r="99" spans="1:2">
      <c r="A99" s="17"/>
      <c r="B99" s="17"/>
    </row>
    <row r="100" spans="1:2">
      <c r="A100" s="17"/>
      <c r="B100" s="17"/>
    </row>
    <row r="101" spans="1:2">
      <c r="A101" s="17"/>
      <c r="B101" s="17"/>
    </row>
    <row r="102" spans="1:2">
      <c r="A102" s="17"/>
      <c r="B102" s="17"/>
    </row>
    <row r="103" spans="1:2">
      <c r="A103" s="17"/>
      <c r="B103" s="17"/>
    </row>
    <row r="104" spans="1:2">
      <c r="A104" s="17"/>
      <c r="B104" s="17"/>
    </row>
    <row r="105" spans="1:2">
      <c r="A105" s="17"/>
      <c r="B105" s="17"/>
    </row>
    <row r="106" spans="1:2">
      <c r="A106" s="17"/>
      <c r="B106" s="17"/>
    </row>
    <row r="107" spans="1:2">
      <c r="A107" s="17"/>
      <c r="B107" s="17"/>
    </row>
    <row r="108" spans="1:2">
      <c r="A108" s="17"/>
      <c r="B108" s="17"/>
    </row>
    <row r="109" spans="1:2">
      <c r="A109" s="17"/>
      <c r="B109" s="17"/>
    </row>
    <row r="110" spans="1:2">
      <c r="A110" s="17"/>
      <c r="B110" s="17"/>
    </row>
    <row r="111" spans="1:2">
      <c r="A111" s="17"/>
      <c r="B111" s="17"/>
    </row>
    <row r="112" spans="1:2">
      <c r="A112" s="17"/>
      <c r="B112" s="17"/>
    </row>
    <row r="113" spans="1:2">
      <c r="A113" s="17"/>
      <c r="B113" s="17"/>
    </row>
    <row r="114" spans="1:2">
      <c r="A114" s="17"/>
      <c r="B114" s="17"/>
    </row>
    <row r="115" spans="1:2">
      <c r="A115" s="17"/>
      <c r="B115" s="17"/>
    </row>
    <row r="116" spans="1:2">
      <c r="A116" s="17"/>
      <c r="B116" s="17"/>
    </row>
    <row r="117" spans="1:2">
      <c r="A117" s="17"/>
      <c r="B117" s="17"/>
    </row>
    <row r="118" spans="1:2">
      <c r="A118" s="17"/>
      <c r="B118" s="17"/>
    </row>
    <row r="119" spans="1:2">
      <c r="A119" s="17"/>
      <c r="B119" s="17"/>
    </row>
    <row r="120" spans="1:2">
      <c r="A120" s="17"/>
      <c r="B120" s="17"/>
    </row>
    <row r="121" spans="1:2">
      <c r="A121" s="17"/>
      <c r="B121" s="17"/>
    </row>
    <row r="122" spans="1:2">
      <c r="A122" s="17"/>
      <c r="B122" s="17"/>
    </row>
    <row r="123" spans="1:2">
      <c r="A123" s="17"/>
      <c r="B123" s="17"/>
    </row>
    <row r="124" spans="1:2">
      <c r="A124" s="17"/>
      <c r="B124" s="17"/>
    </row>
    <row r="125" spans="1:2">
      <c r="A125" s="17"/>
      <c r="B125" s="17"/>
    </row>
    <row r="126" spans="1:2">
      <c r="A126" s="17"/>
      <c r="B126" s="17"/>
    </row>
    <row r="127" spans="1:2">
      <c r="A127" s="17"/>
      <c r="B127" s="17"/>
    </row>
    <row r="128" spans="1:2">
      <c r="A128" s="17"/>
      <c r="B128" s="17"/>
    </row>
    <row r="129" spans="1:2">
      <c r="A129" s="17"/>
      <c r="B129" s="17"/>
    </row>
    <row r="130" spans="1:2">
      <c r="A130" s="17"/>
      <c r="B130" s="17"/>
    </row>
    <row r="131" spans="1:2">
      <c r="A131" s="17"/>
      <c r="B131" s="17"/>
    </row>
    <row r="132" spans="1:2">
      <c r="A132" s="17"/>
      <c r="B132" s="17"/>
    </row>
    <row r="133" spans="1:2">
      <c r="A133" s="17"/>
      <c r="B133" s="17"/>
    </row>
    <row r="134" spans="1:2">
      <c r="A134" s="17"/>
      <c r="B134" s="17"/>
    </row>
    <row r="135" spans="1:2">
      <c r="A135" s="17"/>
      <c r="B135" s="17"/>
    </row>
    <row r="136" spans="1:2">
      <c r="A136" s="17"/>
      <c r="B136" s="17"/>
    </row>
    <row r="137" spans="1:2">
      <c r="A137" s="17"/>
      <c r="B137" s="17"/>
    </row>
    <row r="138" spans="1:2">
      <c r="A138" s="17"/>
      <c r="B138" s="17"/>
    </row>
    <row r="139" spans="1:2">
      <c r="A139" s="17"/>
      <c r="B139" s="17"/>
    </row>
    <row r="140" spans="1:2">
      <c r="A140" s="17"/>
      <c r="B140" s="17"/>
    </row>
    <row r="141" spans="1:2">
      <c r="A141" s="17"/>
      <c r="B141" s="17"/>
    </row>
    <row r="142" spans="1:2">
      <c r="A142" s="17"/>
      <c r="B142" s="17"/>
    </row>
    <row r="143" spans="1:2">
      <c r="A143" s="17"/>
      <c r="B143" s="17"/>
    </row>
    <row r="144" spans="1:2">
      <c r="A144" s="17"/>
      <c r="B144" s="17"/>
    </row>
    <row r="145" spans="1:2">
      <c r="A145" s="17"/>
      <c r="B145" s="17"/>
    </row>
    <row r="146" spans="1:2">
      <c r="A146" s="17"/>
      <c r="B146" s="17"/>
    </row>
    <row r="147" spans="1:2">
      <c r="A147" s="17"/>
      <c r="B147" s="17"/>
    </row>
    <row r="148" spans="1:2">
      <c r="A148" s="17"/>
      <c r="B148" s="17"/>
    </row>
    <row r="149" spans="1:2">
      <c r="A149" s="17"/>
      <c r="B149" s="17"/>
    </row>
    <row r="150" spans="1:2">
      <c r="A150" s="17"/>
      <c r="B150" s="17"/>
    </row>
    <row r="151" spans="1:2">
      <c r="A151" s="17"/>
      <c r="B151" s="17"/>
    </row>
    <row r="152" spans="1:2">
      <c r="A152" s="17"/>
      <c r="B152" s="17"/>
    </row>
    <row r="153" spans="1:2">
      <c r="A153" s="17"/>
      <c r="B153" s="17"/>
    </row>
    <row r="154" spans="1:2">
      <c r="A154" s="17"/>
      <c r="B154" s="17"/>
    </row>
    <row r="155" spans="1:2">
      <c r="A155" s="17"/>
      <c r="B155" s="17"/>
    </row>
    <row r="156" spans="1:2">
      <c r="A156" s="17"/>
      <c r="B156" s="17"/>
    </row>
    <row r="157" spans="1:2">
      <c r="A157" s="17"/>
      <c r="B157" s="17"/>
    </row>
    <row r="158" spans="1:2">
      <c r="A158" s="17"/>
      <c r="B158" s="17"/>
    </row>
    <row r="159" spans="1:2">
      <c r="A159" s="17"/>
      <c r="B159" s="17"/>
    </row>
    <row r="160" spans="1:2">
      <c r="A160" s="17"/>
      <c r="B160" s="17"/>
    </row>
    <row r="161" spans="1:2">
      <c r="A161" s="17"/>
      <c r="B161" s="17"/>
    </row>
    <row r="162" spans="1:2">
      <c r="A162" s="17"/>
      <c r="B162" s="17"/>
    </row>
    <row r="163" spans="1:2">
      <c r="A163" s="17"/>
      <c r="B163" s="17"/>
    </row>
    <row r="164" spans="1:2">
      <c r="A164" s="17"/>
      <c r="B164" s="17"/>
    </row>
    <row r="165" spans="1:2">
      <c r="A165" s="17"/>
      <c r="B165" s="17"/>
    </row>
    <row r="166" spans="1:2">
      <c r="A166" s="17"/>
      <c r="B166" s="17"/>
    </row>
  </sheetData>
  <mergeCells count="40">
    <mergeCell ref="A1:F1"/>
    <mergeCell ref="A27:E27"/>
    <mergeCell ref="A24:E24"/>
    <mergeCell ref="F4:F5"/>
    <mergeCell ref="E4:E5"/>
    <mergeCell ref="A6:A7"/>
    <mergeCell ref="A2:B2"/>
    <mergeCell ref="B4:B5"/>
    <mergeCell ref="C2:F2"/>
    <mergeCell ref="B14:B15"/>
    <mergeCell ref="F6:F7"/>
    <mergeCell ref="B6:B7"/>
    <mergeCell ref="B8:B9"/>
    <mergeCell ref="F8:F9"/>
    <mergeCell ref="A4:A5"/>
    <mergeCell ref="B22:B23"/>
    <mergeCell ref="D35:F35"/>
    <mergeCell ref="E14:E15"/>
    <mergeCell ref="A14:A15"/>
    <mergeCell ref="A8:A9"/>
    <mergeCell ref="F14:F15"/>
    <mergeCell ref="E8:E9"/>
    <mergeCell ref="A29:B29"/>
    <mergeCell ref="A28:B28"/>
    <mergeCell ref="A30:B30"/>
    <mergeCell ref="A20:A21"/>
    <mergeCell ref="B20:B21"/>
    <mergeCell ref="E20:E21"/>
    <mergeCell ref="F20:F21"/>
    <mergeCell ref="A25:E25"/>
    <mergeCell ref="A26:E26"/>
    <mergeCell ref="A22:A23"/>
    <mergeCell ref="E22:E23"/>
    <mergeCell ref="F22:F23"/>
    <mergeCell ref="D22:D23"/>
    <mergeCell ref="D4:D5"/>
    <mergeCell ref="D6:D7"/>
    <mergeCell ref="D8:D9"/>
    <mergeCell ref="E6:E7"/>
    <mergeCell ref="D14:D15"/>
  </mergeCells>
  <phoneticPr fontId="0" type="noConversion"/>
  <printOptions horizontalCentered="1"/>
  <pageMargins left="0.39370078740157483" right="0.39370078740157483" top="0.59055118110236227" bottom="0.47244094488188981" header="0.59055118110236227" footer="0.19685039370078741"/>
  <pageSetup paperSize="9" scale="75" orientation="portrait" verticalDpi="4294967295" r:id="rId1"/>
  <headerFooter alignWithMargins="0"/>
  <rowBreaks count="2" manualBreakCount="2">
    <brk id="19" max="5" man="1"/>
    <brk id="31"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43"/>
  <sheetViews>
    <sheetView view="pageBreakPreview" topLeftCell="A27" zoomScale="90" zoomScaleNormal="100" zoomScaleSheetLayoutView="100" workbookViewId="0">
      <selection activeCell="L42" sqref="A1:L42"/>
    </sheetView>
  </sheetViews>
  <sheetFormatPr defaultColWidth="9.109375" defaultRowHeight="15.6"/>
  <cols>
    <col min="1" max="1" width="4.6640625" style="80" customWidth="1"/>
    <col min="2" max="2" width="26.88671875" style="80" bestFit="1" customWidth="1"/>
    <col min="3" max="3" width="7" style="80" bestFit="1" customWidth="1"/>
    <col min="4" max="4" width="5.33203125" style="81" bestFit="1" customWidth="1"/>
    <col min="5" max="5" width="8.33203125" style="81" bestFit="1" customWidth="1"/>
    <col min="6" max="6" width="2.33203125" style="101" bestFit="1" customWidth="1"/>
    <col min="7" max="7" width="7.33203125" style="81" bestFit="1" customWidth="1"/>
    <col min="8" max="8" width="2.33203125" style="80" bestFit="1" customWidth="1"/>
    <col min="9" max="9" width="7.33203125" style="80" bestFit="1" customWidth="1"/>
    <col min="10" max="10" width="2.5546875" style="80" bestFit="1" customWidth="1"/>
    <col min="11" max="11" width="7.88671875" style="80" bestFit="1" customWidth="1"/>
    <col min="12" max="12" width="5.6640625" style="80" bestFit="1" customWidth="1"/>
    <col min="13" max="13" width="9.109375" style="80"/>
    <col min="14" max="14" width="12.44140625" style="80" bestFit="1" customWidth="1"/>
    <col min="15" max="15" width="10.6640625" style="80" bestFit="1" customWidth="1"/>
    <col min="16" max="16384" width="9.109375" style="80"/>
  </cols>
  <sheetData>
    <row r="1" spans="1:16" ht="21.6" thickBot="1">
      <c r="A1" s="220" t="s">
        <v>32</v>
      </c>
      <c r="B1" s="221"/>
      <c r="C1" s="221"/>
      <c r="D1" s="221"/>
      <c r="E1" s="221"/>
      <c r="F1" s="221"/>
      <c r="G1" s="221"/>
      <c r="H1" s="221"/>
      <c r="I1" s="221"/>
      <c r="J1" s="221"/>
      <c r="K1" s="221"/>
      <c r="L1" s="222"/>
      <c r="O1" s="81"/>
    </row>
    <row r="2" spans="1:16" ht="48" customHeight="1" thickBot="1">
      <c r="A2" s="226" t="str">
        <f>Abstract!A2</f>
        <v xml:space="preserve">કામ નું નામ :- </v>
      </c>
      <c r="B2" s="227"/>
      <c r="C2" s="228" t="str">
        <f>Estimate!C20</f>
        <v xml:space="preserve">વસો ગામે ગામની મુખ્ય પાણી ની પાઈપ  લાઇનનું કામ. </v>
      </c>
      <c r="D2" s="229"/>
      <c r="E2" s="229"/>
      <c r="F2" s="229"/>
      <c r="G2" s="229"/>
      <c r="H2" s="229"/>
      <c r="I2" s="229"/>
      <c r="J2" s="229"/>
      <c r="K2" s="229"/>
      <c r="L2" s="230"/>
      <c r="O2" s="224"/>
      <c r="P2" s="225"/>
    </row>
    <row r="3" spans="1:16">
      <c r="A3" s="82"/>
      <c r="B3" s="83"/>
      <c r="C3" s="84" t="s">
        <v>30</v>
      </c>
      <c r="D3" s="85" t="s">
        <v>25</v>
      </c>
      <c r="E3" s="85" t="s">
        <v>70</v>
      </c>
      <c r="F3" s="86" t="s">
        <v>25</v>
      </c>
      <c r="G3" s="87" t="s">
        <v>71</v>
      </c>
      <c r="H3" s="88" t="s">
        <v>25</v>
      </c>
      <c r="I3" s="85" t="s">
        <v>72</v>
      </c>
      <c r="J3" s="85" t="s">
        <v>34</v>
      </c>
      <c r="K3" s="89"/>
      <c r="L3" s="90"/>
    </row>
    <row r="4" spans="1:16" ht="34.5" customHeight="1">
      <c r="A4" s="214" t="str">
        <f>Abstract!C4</f>
        <v>ITEM NO 1 : Dismantling the exsting surface incl. disposing off the dismentalled material and stacking the useful materials directed</v>
      </c>
      <c r="B4" s="215"/>
      <c r="C4" s="215"/>
      <c r="D4" s="215"/>
      <c r="E4" s="215"/>
      <c r="F4" s="215"/>
      <c r="G4" s="215"/>
      <c r="H4" s="215"/>
      <c r="I4" s="215"/>
      <c r="J4" s="215"/>
      <c r="K4" s="215"/>
      <c r="L4" s="216"/>
    </row>
    <row r="5" spans="1:16">
      <c r="A5" s="82"/>
      <c r="B5" s="83"/>
      <c r="C5" s="137">
        <v>1</v>
      </c>
      <c r="D5" s="88" t="s">
        <v>25</v>
      </c>
      <c r="E5" s="6">
        <v>0</v>
      </c>
      <c r="F5" s="84" t="s">
        <v>25</v>
      </c>
      <c r="G5" s="6">
        <v>0.45</v>
      </c>
      <c r="H5" s="85"/>
      <c r="I5" s="93"/>
      <c r="J5" s="94" t="s">
        <v>34</v>
      </c>
      <c r="K5" s="7">
        <f>C5*E5*G5</f>
        <v>0</v>
      </c>
      <c r="L5" s="95"/>
    </row>
    <row r="6" spans="1:16">
      <c r="A6" s="82"/>
      <c r="B6" s="83"/>
      <c r="C6" s="96"/>
      <c r="D6" s="89"/>
      <c r="E6" s="97"/>
      <c r="F6" s="98"/>
      <c r="G6" s="223" t="s">
        <v>79</v>
      </c>
      <c r="H6" s="223"/>
      <c r="I6" s="223"/>
      <c r="J6" s="99" t="s">
        <v>34</v>
      </c>
      <c r="K6" s="233">
        <f>K5</f>
        <v>0</v>
      </c>
      <c r="L6" s="90" t="s">
        <v>28</v>
      </c>
    </row>
    <row r="7" spans="1:16">
      <c r="A7" s="82"/>
      <c r="B7" s="83"/>
      <c r="C7" s="96"/>
      <c r="D7" s="89"/>
      <c r="E7" s="96"/>
      <c r="G7" s="89"/>
      <c r="H7" s="83"/>
      <c r="I7" s="102"/>
      <c r="J7" s="102"/>
      <c r="K7" s="89"/>
      <c r="L7" s="90"/>
    </row>
    <row r="8" spans="1:16" ht="45.75" customHeight="1">
      <c r="A8" s="214" t="str">
        <f>Abstract!C6</f>
        <v>Item No-2 Excavation for pipe line trenches including all safty provision using site rails stacking excavated stuff up to lead 90mt.clearing the site etc.complete. For lift &amp; strata as specified.(a) in all sort of soil &amp; soft murrum up to 1.5mt. Depth.</v>
      </c>
      <c r="B8" s="215"/>
      <c r="C8" s="215"/>
      <c r="D8" s="215"/>
      <c r="E8" s="215"/>
      <c r="F8" s="215"/>
      <c r="G8" s="215"/>
      <c r="H8" s="215"/>
      <c r="I8" s="215"/>
      <c r="J8" s="215"/>
      <c r="K8" s="215"/>
      <c r="L8" s="216"/>
    </row>
    <row r="9" spans="1:16" s="92" customFormat="1">
      <c r="A9" s="103"/>
      <c r="B9" s="104" t="s">
        <v>101</v>
      </c>
      <c r="C9" s="138">
        <v>1</v>
      </c>
      <c r="D9" s="104" t="s">
        <v>73</v>
      </c>
      <c r="E9" s="139">
        <v>0</v>
      </c>
      <c r="F9" s="104" t="s">
        <v>73</v>
      </c>
      <c r="G9" s="139">
        <v>0.45</v>
      </c>
      <c r="H9" s="104" t="s">
        <v>73</v>
      </c>
      <c r="I9" s="139">
        <v>0.9</v>
      </c>
      <c r="J9" s="104" t="s">
        <v>34</v>
      </c>
      <c r="K9" s="139">
        <f t="shared" ref="K9:K12" si="0">C9*E9*G9*I9</f>
        <v>0</v>
      </c>
      <c r="L9" s="106" t="s">
        <v>35</v>
      </c>
    </row>
    <row r="10" spans="1:16" s="92" customFormat="1">
      <c r="A10" s="103"/>
      <c r="B10" s="104" t="s">
        <v>102</v>
      </c>
      <c r="C10" s="138">
        <v>1</v>
      </c>
      <c r="D10" s="104" t="s">
        <v>73</v>
      </c>
      <c r="E10" s="140">
        <v>0</v>
      </c>
      <c r="F10" s="104" t="s">
        <v>73</v>
      </c>
      <c r="G10" s="139">
        <v>0.45</v>
      </c>
      <c r="H10" s="104" t="s">
        <v>73</v>
      </c>
      <c r="I10" s="139">
        <f>0.3+0.6</f>
        <v>0.89999999999999991</v>
      </c>
      <c r="J10" s="104" t="s">
        <v>34</v>
      </c>
      <c r="K10" s="139">
        <f t="shared" si="0"/>
        <v>0</v>
      </c>
      <c r="L10" s="106" t="s">
        <v>74</v>
      </c>
    </row>
    <row r="11" spans="1:16" s="92" customFormat="1">
      <c r="A11" s="108"/>
      <c r="B11" s="104" t="s">
        <v>103</v>
      </c>
      <c r="C11" s="138">
        <v>1</v>
      </c>
      <c r="D11" s="104" t="s">
        <v>73</v>
      </c>
      <c r="E11" s="140">
        <v>200</v>
      </c>
      <c r="F11" s="104" t="s">
        <v>73</v>
      </c>
      <c r="G11" s="139">
        <v>0.45</v>
      </c>
      <c r="H11" s="104" t="s">
        <v>73</v>
      </c>
      <c r="I11" s="139">
        <v>0.9</v>
      </c>
      <c r="J11" s="104" t="s">
        <v>34</v>
      </c>
      <c r="K11" s="139">
        <f t="shared" si="0"/>
        <v>81</v>
      </c>
      <c r="L11" s="106" t="s">
        <v>74</v>
      </c>
    </row>
    <row r="12" spans="1:16" s="92" customFormat="1">
      <c r="A12" s="103"/>
      <c r="B12" s="104" t="s">
        <v>104</v>
      </c>
      <c r="C12" s="138">
        <v>1</v>
      </c>
      <c r="D12" s="104" t="s">
        <v>73</v>
      </c>
      <c r="E12" s="140">
        <v>170</v>
      </c>
      <c r="F12" s="104" t="s">
        <v>73</v>
      </c>
      <c r="G12" s="139">
        <v>0.45</v>
      </c>
      <c r="H12" s="104" t="s">
        <v>73</v>
      </c>
      <c r="I12" s="139">
        <v>0.9</v>
      </c>
      <c r="J12" s="104" t="s">
        <v>34</v>
      </c>
      <c r="K12" s="139">
        <f t="shared" si="0"/>
        <v>68.850000000000009</v>
      </c>
      <c r="L12" s="106" t="s">
        <v>74</v>
      </c>
    </row>
    <row r="13" spans="1:16" s="92" customFormat="1">
      <c r="A13" s="108"/>
      <c r="B13" s="105"/>
      <c r="C13" s="105"/>
      <c r="D13" s="105"/>
      <c r="E13" s="107"/>
      <c r="F13" s="105"/>
      <c r="G13" s="223" t="s">
        <v>79</v>
      </c>
      <c r="H13" s="223"/>
      <c r="I13" s="223"/>
      <c r="J13" s="104" t="s">
        <v>34</v>
      </c>
      <c r="K13" s="139">
        <f>SUM(K9:K12)</f>
        <v>149.85000000000002</v>
      </c>
      <c r="L13" s="104" t="s">
        <v>35</v>
      </c>
    </row>
    <row r="14" spans="1:16" s="92" customFormat="1">
      <c r="A14" s="108"/>
      <c r="B14" s="105"/>
      <c r="C14" s="105"/>
      <c r="D14" s="105"/>
      <c r="E14" s="107"/>
      <c r="F14" s="105"/>
      <c r="G14" s="223" t="s">
        <v>20</v>
      </c>
      <c r="H14" s="223"/>
      <c r="I14" s="223"/>
      <c r="J14" s="104" t="s">
        <v>34</v>
      </c>
      <c r="K14" s="234">
        <f>K13</f>
        <v>149.85000000000002</v>
      </c>
      <c r="L14" s="104" t="s">
        <v>35</v>
      </c>
    </row>
    <row r="15" spans="1:16">
      <c r="A15" s="82"/>
      <c r="B15" s="83"/>
      <c r="C15" s="83"/>
      <c r="D15" s="89"/>
      <c r="E15" s="89"/>
      <c r="F15" s="102"/>
      <c r="G15" s="89"/>
      <c r="H15" s="83"/>
      <c r="J15" s="91"/>
      <c r="K15" s="89"/>
      <c r="L15" s="90"/>
    </row>
    <row r="16" spans="1:16" ht="89.4" customHeight="1">
      <c r="A16" s="214" t="str">
        <f>Abstract!C8</f>
        <v>Item No-3 Providing &amp; Supplying standard length ISI Mark regid unplastisied  PVC Pipe suitable for potable water with ringfit joint inclunding cost of rings, as per IS specification no. 4985/1988 inclunding all local and central taxes, transportation, frelenght charges, octrol, inspection charges, loading unloading, conveyance to the departmental store and including cost of jointing meterial etc. complate. ( with Excise Duty)</v>
      </c>
      <c r="B16" s="215"/>
      <c r="C16" s="215"/>
      <c r="D16" s="215"/>
      <c r="E16" s="215"/>
      <c r="F16" s="215"/>
      <c r="G16" s="215"/>
      <c r="H16" s="215"/>
      <c r="I16" s="215"/>
      <c r="J16" s="215"/>
      <c r="K16" s="215"/>
      <c r="L16" s="216"/>
      <c r="M16" s="109"/>
      <c r="N16" s="109"/>
      <c r="O16" s="109"/>
      <c r="P16" s="109"/>
    </row>
    <row r="17" spans="1:16" s="117" customFormat="1" ht="13.8">
      <c r="A17" s="110"/>
      <c r="B17" s="104" t="s">
        <v>101</v>
      </c>
      <c r="C17" s="141">
        <f>C9</f>
        <v>1</v>
      </c>
      <c r="D17" s="111" t="s">
        <v>73</v>
      </c>
      <c r="E17" s="142">
        <f>E9</f>
        <v>0</v>
      </c>
      <c r="F17" s="112"/>
      <c r="G17" s="112"/>
      <c r="H17" s="112"/>
      <c r="I17" s="112"/>
      <c r="J17" s="114" t="s">
        <v>34</v>
      </c>
      <c r="K17" s="143">
        <f t="shared" ref="K17:K20" si="1">E17</f>
        <v>0</v>
      </c>
      <c r="L17" s="116" t="s">
        <v>75</v>
      </c>
    </row>
    <row r="18" spans="1:16" s="117" customFormat="1" ht="13.8">
      <c r="A18" s="110"/>
      <c r="B18" s="104" t="s">
        <v>102</v>
      </c>
      <c r="C18" s="141">
        <f>C10</f>
        <v>1</v>
      </c>
      <c r="D18" s="111" t="s">
        <v>73</v>
      </c>
      <c r="E18" s="142">
        <f>E10</f>
        <v>0</v>
      </c>
      <c r="F18" s="112"/>
      <c r="G18" s="112"/>
      <c r="H18" s="112"/>
      <c r="I18" s="112"/>
      <c r="J18" s="114" t="s">
        <v>34</v>
      </c>
      <c r="K18" s="143">
        <f t="shared" si="1"/>
        <v>0</v>
      </c>
      <c r="L18" s="116" t="s">
        <v>75</v>
      </c>
    </row>
    <row r="19" spans="1:16" s="117" customFormat="1" ht="13.8">
      <c r="A19" s="110"/>
      <c r="B19" s="104" t="s">
        <v>103</v>
      </c>
      <c r="C19" s="141">
        <f>C11</f>
        <v>1</v>
      </c>
      <c r="D19" s="111" t="s">
        <v>73</v>
      </c>
      <c r="E19" s="142">
        <f>E11</f>
        <v>200</v>
      </c>
      <c r="F19" s="112"/>
      <c r="G19" s="112"/>
      <c r="H19" s="112"/>
      <c r="I19" s="112"/>
      <c r="J19" s="114" t="s">
        <v>34</v>
      </c>
      <c r="K19" s="143">
        <f t="shared" si="1"/>
        <v>200</v>
      </c>
      <c r="L19" s="116" t="s">
        <v>75</v>
      </c>
    </row>
    <row r="20" spans="1:16" s="117" customFormat="1" ht="13.8">
      <c r="A20" s="110"/>
      <c r="B20" s="104" t="s">
        <v>104</v>
      </c>
      <c r="C20" s="141">
        <f>C12</f>
        <v>1</v>
      </c>
      <c r="D20" s="111" t="s">
        <v>73</v>
      </c>
      <c r="E20" s="142">
        <f>E12</f>
        <v>170</v>
      </c>
      <c r="F20" s="112"/>
      <c r="G20" s="112"/>
      <c r="H20" s="112"/>
      <c r="I20" s="112"/>
      <c r="J20" s="114" t="s">
        <v>34</v>
      </c>
      <c r="K20" s="143">
        <f t="shared" si="1"/>
        <v>170</v>
      </c>
      <c r="L20" s="116" t="s">
        <v>75</v>
      </c>
    </row>
    <row r="21" spans="1:16" s="88" customFormat="1">
      <c r="A21" s="118"/>
      <c r="B21" s="111"/>
      <c r="C21" s="112"/>
      <c r="D21" s="112"/>
      <c r="E21" s="113"/>
      <c r="F21" s="112"/>
      <c r="G21" s="112"/>
      <c r="H21" s="112"/>
      <c r="I21" s="112"/>
      <c r="J21" s="120"/>
      <c r="K21" s="115"/>
      <c r="L21" s="114"/>
      <c r="M21" s="119"/>
      <c r="N21" s="51"/>
      <c r="O21" s="51"/>
      <c r="P21" s="51"/>
    </row>
    <row r="22" spans="1:16" ht="60.75" customHeight="1">
      <c r="A22" s="214" t="str">
        <f>Abstract!C14</f>
        <v>Item No-4 Lowering ,Laying &amp; Jointing PVC pipes &amp; specials including cost of conveyance from store to site of work including cost of labour, material except cost of cement ,solvent giving satisfactory hydraulic testing as per IS code.</v>
      </c>
      <c r="B22" s="215"/>
      <c r="C22" s="215"/>
      <c r="D22" s="215"/>
      <c r="E22" s="215"/>
      <c r="F22" s="215"/>
      <c r="G22" s="215"/>
      <c r="H22" s="215"/>
      <c r="I22" s="215"/>
      <c r="J22" s="215"/>
      <c r="K22" s="215"/>
      <c r="L22" s="216"/>
    </row>
    <row r="23" spans="1:16" s="117" customFormat="1" ht="13.8">
      <c r="A23" s="110"/>
      <c r="B23" s="104" t="s">
        <v>101</v>
      </c>
      <c r="C23" s="112">
        <f>C17</f>
        <v>1</v>
      </c>
      <c r="D23" s="111" t="s">
        <v>73</v>
      </c>
      <c r="E23" s="142">
        <f>E17</f>
        <v>0</v>
      </c>
      <c r="F23" s="112"/>
      <c r="G23" s="112"/>
      <c r="H23" s="112"/>
      <c r="I23" s="112"/>
      <c r="J23" s="114" t="s">
        <v>34</v>
      </c>
      <c r="K23" s="143">
        <f t="shared" ref="K23:K26" si="2">C23*E23</f>
        <v>0</v>
      </c>
      <c r="L23" s="116" t="s">
        <v>75</v>
      </c>
    </row>
    <row r="24" spans="1:16" s="117" customFormat="1" ht="13.8">
      <c r="A24" s="110"/>
      <c r="B24" s="104" t="s">
        <v>102</v>
      </c>
      <c r="C24" s="112">
        <f>C18</f>
        <v>1</v>
      </c>
      <c r="D24" s="111" t="s">
        <v>73</v>
      </c>
      <c r="E24" s="142">
        <f>E18</f>
        <v>0</v>
      </c>
      <c r="F24" s="112"/>
      <c r="G24" s="112"/>
      <c r="H24" s="112"/>
      <c r="I24" s="112"/>
      <c r="J24" s="114" t="s">
        <v>34</v>
      </c>
      <c r="K24" s="143">
        <f t="shared" si="2"/>
        <v>0</v>
      </c>
      <c r="L24" s="116" t="s">
        <v>75</v>
      </c>
    </row>
    <row r="25" spans="1:16" s="117" customFormat="1" ht="13.8">
      <c r="A25" s="110"/>
      <c r="B25" s="104" t="s">
        <v>103</v>
      </c>
      <c r="C25" s="112">
        <f>C19</f>
        <v>1</v>
      </c>
      <c r="D25" s="111" t="s">
        <v>73</v>
      </c>
      <c r="E25" s="142">
        <f>E19</f>
        <v>200</v>
      </c>
      <c r="F25" s="112"/>
      <c r="G25" s="112"/>
      <c r="H25" s="112"/>
      <c r="I25" s="112"/>
      <c r="J25" s="114" t="s">
        <v>34</v>
      </c>
      <c r="K25" s="143">
        <f t="shared" si="2"/>
        <v>200</v>
      </c>
      <c r="L25" s="116" t="s">
        <v>75</v>
      </c>
    </row>
    <row r="26" spans="1:16" s="117" customFormat="1" ht="13.8">
      <c r="A26" s="110"/>
      <c r="B26" s="104" t="s">
        <v>104</v>
      </c>
      <c r="C26" s="112">
        <f>C20</f>
        <v>1</v>
      </c>
      <c r="D26" s="111" t="s">
        <v>73</v>
      </c>
      <c r="E26" s="142">
        <f>E20</f>
        <v>170</v>
      </c>
      <c r="F26" s="112"/>
      <c r="G26" s="112"/>
      <c r="H26" s="112"/>
      <c r="I26" s="112"/>
      <c r="J26" s="114" t="s">
        <v>34</v>
      </c>
      <c r="K26" s="143">
        <f t="shared" si="2"/>
        <v>170</v>
      </c>
      <c r="L26" s="116" t="s">
        <v>75</v>
      </c>
    </row>
    <row r="27" spans="1:16">
      <c r="A27" s="82"/>
      <c r="B27" s="83"/>
      <c r="C27" s="89"/>
      <c r="D27" s="89"/>
      <c r="E27" s="89"/>
      <c r="F27" s="89"/>
      <c r="G27" s="89"/>
      <c r="H27" s="99"/>
      <c r="I27" s="99"/>
      <c r="J27" s="94"/>
      <c r="K27" s="100"/>
      <c r="L27" s="121"/>
    </row>
    <row r="28" spans="1:16">
      <c r="A28" s="214" t="str">
        <f>Abstract!C20</f>
        <v>Item No-5 Refilling the pipe line trenches including ramming watering consolidating disposal of surplus stuff as directed within radius of 3.00 km.</v>
      </c>
      <c r="B28" s="215"/>
      <c r="C28" s="215"/>
      <c r="D28" s="215"/>
      <c r="E28" s="215"/>
      <c r="F28" s="215"/>
      <c r="G28" s="215"/>
      <c r="H28" s="215"/>
      <c r="I28" s="215"/>
      <c r="J28" s="215"/>
      <c r="K28" s="215"/>
      <c r="L28" s="216"/>
    </row>
    <row r="29" spans="1:16">
      <c r="A29" s="214"/>
      <c r="B29" s="215"/>
      <c r="C29" s="215"/>
      <c r="D29" s="215"/>
      <c r="E29" s="215"/>
      <c r="F29" s="215"/>
      <c r="G29" s="215"/>
      <c r="H29" s="215"/>
      <c r="I29" s="215"/>
      <c r="J29" s="215"/>
      <c r="K29" s="215"/>
      <c r="L29" s="216"/>
    </row>
    <row r="30" spans="1:16" s="129" customFormat="1" ht="13.8">
      <c r="A30" s="124"/>
      <c r="B30" s="125" t="s">
        <v>76</v>
      </c>
      <c r="C30" s="126"/>
      <c r="D30" s="126"/>
      <c r="E30" s="127"/>
      <c r="F30" s="127"/>
      <c r="G30" s="217" t="s">
        <v>77</v>
      </c>
      <c r="H30" s="217"/>
      <c r="I30" s="217"/>
      <c r="J30" s="122" t="s">
        <v>34</v>
      </c>
      <c r="K30" s="144">
        <f>K13</f>
        <v>149.85000000000002</v>
      </c>
      <c r="L30" s="106" t="s">
        <v>78</v>
      </c>
    </row>
    <row r="31" spans="1:16" s="129" customFormat="1" ht="13.8">
      <c r="A31" s="124"/>
      <c r="B31" s="104" t="s">
        <v>101</v>
      </c>
      <c r="C31" s="128">
        <v>0.78500000000000003</v>
      </c>
      <c r="D31" s="128" t="s">
        <v>73</v>
      </c>
      <c r="E31" s="130">
        <v>6.5000000000000002E-2</v>
      </c>
      <c r="F31" s="128" t="s">
        <v>73</v>
      </c>
      <c r="G31" s="130">
        <f t="shared" ref="G31:G34" si="3">E31</f>
        <v>6.5000000000000002E-2</v>
      </c>
      <c r="H31" s="128" t="s">
        <v>73</v>
      </c>
      <c r="I31" s="146">
        <f>E9</f>
        <v>0</v>
      </c>
      <c r="J31" s="104" t="s">
        <v>34</v>
      </c>
      <c r="K31" s="145">
        <f>C31*E31*G31*I31</f>
        <v>0</v>
      </c>
      <c r="L31" s="106" t="s">
        <v>35</v>
      </c>
    </row>
    <row r="32" spans="1:16" s="129" customFormat="1" ht="13.8">
      <c r="A32" s="124"/>
      <c r="B32" s="104" t="s">
        <v>102</v>
      </c>
      <c r="C32" s="128">
        <v>0.78500000000000003</v>
      </c>
      <c r="D32" s="128" t="s">
        <v>73</v>
      </c>
      <c r="E32" s="130">
        <v>7.4999999999999997E-2</v>
      </c>
      <c r="F32" s="128" t="s">
        <v>73</v>
      </c>
      <c r="G32" s="130">
        <f t="shared" si="3"/>
        <v>7.4999999999999997E-2</v>
      </c>
      <c r="H32" s="128" t="s">
        <v>73</v>
      </c>
      <c r="I32" s="146">
        <f>E10</f>
        <v>0</v>
      </c>
      <c r="J32" s="104" t="s">
        <v>34</v>
      </c>
      <c r="K32" s="145">
        <f>C32*E32*G32*I32</f>
        <v>0</v>
      </c>
      <c r="L32" s="106" t="s">
        <v>35</v>
      </c>
    </row>
    <row r="33" spans="1:12" s="129" customFormat="1" ht="13.8">
      <c r="A33" s="124"/>
      <c r="B33" s="104" t="s">
        <v>103</v>
      </c>
      <c r="C33" s="128">
        <v>0.78500000000000003</v>
      </c>
      <c r="D33" s="128" t="s">
        <v>73</v>
      </c>
      <c r="E33" s="130">
        <v>0.09</v>
      </c>
      <c r="F33" s="128" t="s">
        <v>73</v>
      </c>
      <c r="G33" s="130">
        <f t="shared" si="3"/>
        <v>0.09</v>
      </c>
      <c r="H33" s="128" t="s">
        <v>73</v>
      </c>
      <c r="I33" s="146">
        <f>E11</f>
        <v>200</v>
      </c>
      <c r="J33" s="104" t="s">
        <v>34</v>
      </c>
      <c r="K33" s="145">
        <f t="shared" ref="K33" si="4">C33*E33*G33*I33</f>
        <v>1.2717000000000001</v>
      </c>
      <c r="L33" s="106" t="s">
        <v>35</v>
      </c>
    </row>
    <row r="34" spans="1:12" s="129" customFormat="1" ht="13.8">
      <c r="A34" s="124"/>
      <c r="B34" s="104" t="s">
        <v>104</v>
      </c>
      <c r="C34" s="128">
        <v>0.78500000000000003</v>
      </c>
      <c r="D34" s="128" t="s">
        <v>73</v>
      </c>
      <c r="E34" s="130">
        <v>0.11</v>
      </c>
      <c r="F34" s="128" t="s">
        <v>73</v>
      </c>
      <c r="G34" s="130">
        <f t="shared" si="3"/>
        <v>0.11</v>
      </c>
      <c r="H34" s="128" t="s">
        <v>73</v>
      </c>
      <c r="I34" s="146">
        <f>E12</f>
        <v>170</v>
      </c>
      <c r="J34" s="104" t="s">
        <v>34</v>
      </c>
      <c r="K34" s="145">
        <f>C34*E34*G34*I34</f>
        <v>1.6147450000000003</v>
      </c>
      <c r="L34" s="106" t="s">
        <v>35</v>
      </c>
    </row>
    <row r="35" spans="1:12" s="129" customFormat="1" ht="15">
      <c r="A35" s="124"/>
      <c r="B35" s="105"/>
      <c r="C35" s="126"/>
      <c r="D35" s="126"/>
      <c r="E35" s="127"/>
      <c r="F35" s="126"/>
      <c r="G35" s="218" t="s">
        <v>79</v>
      </c>
      <c r="H35" s="218"/>
      <c r="I35" s="218"/>
      <c r="J35" s="104" t="s">
        <v>34</v>
      </c>
      <c r="K35" s="144">
        <f>SUM(K31:K34)</f>
        <v>2.8864450000000001</v>
      </c>
      <c r="L35" s="106" t="s">
        <v>35</v>
      </c>
    </row>
    <row r="36" spans="1:12" s="129" customFormat="1" ht="15">
      <c r="A36" s="124"/>
      <c r="B36" s="131"/>
      <c r="C36" s="105"/>
      <c r="D36" s="105"/>
      <c r="E36" s="2"/>
      <c r="F36" s="2"/>
      <c r="G36" s="218" t="s">
        <v>106</v>
      </c>
      <c r="H36" s="218"/>
      <c r="I36" s="218"/>
      <c r="J36" s="104" t="s">
        <v>34</v>
      </c>
      <c r="K36" s="146">
        <f>K30-K35</f>
        <v>146.96355500000001</v>
      </c>
      <c r="L36" s="106" t="s">
        <v>78</v>
      </c>
    </row>
    <row r="37" spans="1:12" s="129" customFormat="1" ht="13.8">
      <c r="A37" s="124"/>
      <c r="B37" s="131"/>
      <c r="C37" s="105"/>
      <c r="D37" s="105"/>
      <c r="E37" s="131"/>
      <c r="F37" s="131"/>
      <c r="G37" s="131"/>
      <c r="H37" s="131"/>
      <c r="I37" s="132" t="s">
        <v>20</v>
      </c>
      <c r="J37" s="122" t="s">
        <v>34</v>
      </c>
      <c r="K37" s="144">
        <f>K36</f>
        <v>146.96355500000001</v>
      </c>
      <c r="L37" s="123" t="s">
        <v>78</v>
      </c>
    </row>
    <row r="38" spans="1:12">
      <c r="A38" s="133"/>
      <c r="B38" s="133"/>
      <c r="C38" s="133"/>
      <c r="D38" s="134"/>
      <c r="E38" s="134"/>
      <c r="F38" s="135"/>
      <c r="G38" s="134"/>
      <c r="H38" s="133"/>
      <c r="I38" s="219"/>
      <c r="J38" s="219"/>
      <c r="K38" s="219"/>
      <c r="L38" s="136"/>
    </row>
    <row r="39" spans="1:12" ht="34.5" customHeight="1">
      <c r="A39" s="214" t="str">
        <f>Abstract!C22</f>
        <v xml:space="preserve"> Item No-6 Providing and fixing Number plate of marble stone of requiered size set in C.M. 1:4 inch finishing &amp; engraving letters etc comp.                                      </v>
      </c>
      <c r="B39" s="215"/>
      <c r="C39" s="215"/>
      <c r="D39" s="215"/>
      <c r="E39" s="215"/>
      <c r="F39" s="215"/>
      <c r="G39" s="215"/>
      <c r="H39" s="215"/>
      <c r="I39" s="215"/>
      <c r="J39" s="215"/>
      <c r="K39" s="215"/>
      <c r="L39" s="216"/>
    </row>
    <row r="40" spans="1:12">
      <c r="A40" s="82"/>
      <c r="B40" s="83"/>
      <c r="C40" s="92">
        <v>1</v>
      </c>
      <c r="D40" s="88" t="s">
        <v>25</v>
      </c>
      <c r="E40" s="6">
        <v>1</v>
      </c>
      <c r="F40" s="84"/>
      <c r="G40" s="93"/>
      <c r="H40" s="85"/>
      <c r="I40" s="93"/>
      <c r="J40" s="94" t="s">
        <v>34</v>
      </c>
      <c r="K40" s="7">
        <f>C40*E40</f>
        <v>1</v>
      </c>
      <c r="L40" s="90" t="s">
        <v>30</v>
      </c>
    </row>
    <row r="41" spans="1:12">
      <c r="A41" s="82"/>
      <c r="B41" s="83"/>
      <c r="C41" s="96"/>
      <c r="D41" s="89"/>
      <c r="E41" s="97"/>
      <c r="F41" s="98"/>
      <c r="G41" s="218" t="s">
        <v>79</v>
      </c>
      <c r="H41" s="218"/>
      <c r="I41" s="218"/>
      <c r="J41" s="99" t="s">
        <v>34</v>
      </c>
      <c r="K41" s="233">
        <f>SUM(K40:K40)</f>
        <v>1</v>
      </c>
      <c r="L41" s="90" t="s">
        <v>30</v>
      </c>
    </row>
    <row r="42" spans="1:12">
      <c r="A42" s="83"/>
      <c r="B42" s="83"/>
      <c r="C42" s="83"/>
      <c r="D42" s="89"/>
      <c r="E42" s="89"/>
      <c r="F42" s="102"/>
      <c r="G42" s="89"/>
      <c r="H42" s="83"/>
    </row>
    <row r="43" spans="1:12">
      <c r="A43" s="83"/>
      <c r="B43" s="83"/>
      <c r="C43" s="83"/>
      <c r="D43" s="89"/>
      <c r="E43" s="89"/>
      <c r="F43" s="102"/>
      <c r="G43" s="89"/>
      <c r="H43" s="83"/>
    </row>
  </sheetData>
  <mergeCells count="18">
    <mergeCell ref="A1:L1"/>
    <mergeCell ref="G13:I13"/>
    <mergeCell ref="G14:I14"/>
    <mergeCell ref="O2:P2"/>
    <mergeCell ref="A8:L8"/>
    <mergeCell ref="A4:L4"/>
    <mergeCell ref="A2:B2"/>
    <mergeCell ref="C2:L2"/>
    <mergeCell ref="G6:I6"/>
    <mergeCell ref="A16:L16"/>
    <mergeCell ref="A28:L29"/>
    <mergeCell ref="A22:L22"/>
    <mergeCell ref="G30:I30"/>
    <mergeCell ref="G41:I41"/>
    <mergeCell ref="G35:I35"/>
    <mergeCell ref="A39:L39"/>
    <mergeCell ref="I38:K38"/>
    <mergeCell ref="G36:I36"/>
  </mergeCells>
  <phoneticPr fontId="0" type="noConversion"/>
  <printOptions horizontalCentered="1"/>
  <pageMargins left="0.39370078740157483" right="0.39370078740157483" top="0.59055118110236227" bottom="0.39370078740157483" header="0.15748031496062992" footer="0.27559055118110237"/>
  <pageSetup paperSize="9" scale="88" orientation="portrait" verticalDpi="4294967295"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36"/>
  <sheetViews>
    <sheetView tabSelected="1" view="pageBreakPreview" zoomScale="90" zoomScaleNormal="100" zoomScaleSheetLayoutView="90" workbookViewId="0">
      <selection activeCell="C26" sqref="C26"/>
    </sheetView>
  </sheetViews>
  <sheetFormatPr defaultColWidth="9.109375" defaultRowHeight="13.2"/>
  <cols>
    <col min="1" max="1" width="17.109375" style="1" customWidth="1"/>
    <col min="2" max="2" width="13.33203125" style="1" bestFit="1" customWidth="1"/>
    <col min="3" max="3" width="9.44140625" style="1" customWidth="1"/>
    <col min="4" max="4" width="10.5546875" style="1" customWidth="1"/>
    <col min="5" max="5" width="5.44140625" style="1" customWidth="1"/>
    <col min="6" max="6" width="14.5546875" style="1" customWidth="1"/>
    <col min="7" max="7" width="13.109375" style="1" customWidth="1"/>
    <col min="8" max="16384" width="9.109375" style="1"/>
  </cols>
  <sheetData>
    <row r="1" spans="1:9" ht="52.5" customHeight="1">
      <c r="A1" s="147" t="str">
        <f>Abstract!A2</f>
        <v xml:space="preserve">કામ નું નામ :- </v>
      </c>
      <c r="B1" s="213" t="str">
        <f>Abstract!C2</f>
        <v xml:space="preserve">વસો ગામે ગામની મુખ્ય પાણી ની પાઈપ  લાઇનનું કામ. </v>
      </c>
      <c r="C1" s="213"/>
      <c r="D1" s="213"/>
      <c r="E1" s="213"/>
      <c r="F1" s="213"/>
      <c r="G1" s="213"/>
      <c r="H1" s="213"/>
      <c r="I1" s="213"/>
    </row>
    <row r="2" spans="1:9">
      <c r="A2" s="68"/>
      <c r="B2" s="68"/>
      <c r="C2" s="68"/>
      <c r="D2" s="68"/>
      <c r="E2" s="5"/>
      <c r="H2" s="4"/>
      <c r="I2" s="4"/>
    </row>
    <row r="3" spans="1:9" ht="15.6">
      <c r="A3" s="232" t="s">
        <v>82</v>
      </c>
      <c r="B3" s="232"/>
      <c r="C3" s="232"/>
      <c r="D3" s="232"/>
      <c r="E3" s="232"/>
      <c r="F3" s="232"/>
      <c r="G3" s="232"/>
      <c r="H3" s="4"/>
      <c r="I3" s="4"/>
    </row>
    <row r="4" spans="1:9" ht="39.6">
      <c r="A4" s="148" t="s">
        <v>41</v>
      </c>
      <c r="B4" s="148" t="s">
        <v>42</v>
      </c>
      <c r="C4" s="149" t="s">
        <v>43</v>
      </c>
      <c r="D4" s="148"/>
      <c r="E4" s="148" t="s">
        <v>44</v>
      </c>
      <c r="F4" s="148"/>
      <c r="G4" s="148" t="s">
        <v>19</v>
      </c>
      <c r="H4" s="4"/>
      <c r="I4" s="4"/>
    </row>
    <row r="5" spans="1:9">
      <c r="A5" s="148">
        <v>1</v>
      </c>
      <c r="B5" s="148" t="s">
        <v>45</v>
      </c>
      <c r="C5" s="150">
        <v>0</v>
      </c>
      <c r="D5" s="150" t="s">
        <v>25</v>
      </c>
      <c r="E5" s="150">
        <v>578</v>
      </c>
      <c r="F5" s="150" t="s">
        <v>34</v>
      </c>
      <c r="G5" s="148">
        <f t="shared" ref="G5:G14" si="0">C5*E5</f>
        <v>0</v>
      </c>
    </row>
    <row r="6" spans="1:9" ht="15.75" customHeight="1">
      <c r="A6" s="148">
        <v>2</v>
      </c>
      <c r="B6" s="148" t="s">
        <v>46</v>
      </c>
      <c r="C6" s="150">
        <v>0</v>
      </c>
      <c r="D6" s="150" t="s">
        <v>25</v>
      </c>
      <c r="E6" s="150">
        <v>388</v>
      </c>
      <c r="F6" s="150" t="s">
        <v>34</v>
      </c>
      <c r="G6" s="148">
        <f t="shared" si="0"/>
        <v>0</v>
      </c>
    </row>
    <row r="7" spans="1:9">
      <c r="A7" s="148">
        <v>3</v>
      </c>
      <c r="B7" s="148" t="s">
        <v>47</v>
      </c>
      <c r="C7" s="150">
        <v>0</v>
      </c>
      <c r="D7" s="150" t="s">
        <v>25</v>
      </c>
      <c r="E7" s="150">
        <v>788</v>
      </c>
      <c r="F7" s="150" t="s">
        <v>34</v>
      </c>
      <c r="G7" s="148">
        <f t="shared" si="0"/>
        <v>0</v>
      </c>
    </row>
    <row r="8" spans="1:9" ht="15.75" customHeight="1">
      <c r="A8" s="148">
        <v>4</v>
      </c>
      <c r="B8" s="148" t="s">
        <v>48</v>
      </c>
      <c r="C8" s="150">
        <v>0</v>
      </c>
      <c r="D8" s="150" t="s">
        <v>25</v>
      </c>
      <c r="E8" s="150">
        <v>238</v>
      </c>
      <c r="F8" s="150" t="s">
        <v>34</v>
      </c>
      <c r="G8" s="148">
        <f t="shared" si="0"/>
        <v>0</v>
      </c>
    </row>
    <row r="9" spans="1:9">
      <c r="A9" s="148">
        <v>5</v>
      </c>
      <c r="B9" s="148" t="s">
        <v>49</v>
      </c>
      <c r="C9" s="150">
        <v>0</v>
      </c>
      <c r="D9" s="150" t="s">
        <v>25</v>
      </c>
      <c r="E9" s="150">
        <v>546</v>
      </c>
      <c r="F9" s="150" t="s">
        <v>34</v>
      </c>
      <c r="G9" s="148">
        <f t="shared" si="0"/>
        <v>0</v>
      </c>
    </row>
    <row r="10" spans="1:9">
      <c r="A10" s="148">
        <v>6</v>
      </c>
      <c r="B10" s="148" t="s">
        <v>50</v>
      </c>
      <c r="C10" s="150">
        <v>0</v>
      </c>
      <c r="D10" s="150" t="s">
        <v>25</v>
      </c>
      <c r="E10" s="150">
        <v>696</v>
      </c>
      <c r="F10" s="150" t="s">
        <v>34</v>
      </c>
      <c r="G10" s="148">
        <f t="shared" si="0"/>
        <v>0</v>
      </c>
    </row>
    <row r="11" spans="1:9">
      <c r="A11" s="148">
        <v>7</v>
      </c>
      <c r="B11" s="148" t="s">
        <v>51</v>
      </c>
      <c r="C11" s="150">
        <v>0</v>
      </c>
      <c r="D11" s="150" t="s">
        <v>25</v>
      </c>
      <c r="E11" s="150">
        <v>220</v>
      </c>
      <c r="F11" s="150" t="s">
        <v>34</v>
      </c>
      <c r="G11" s="148">
        <f t="shared" si="0"/>
        <v>0</v>
      </c>
    </row>
    <row r="12" spans="1:9">
      <c r="A12" s="148">
        <v>8</v>
      </c>
      <c r="B12" s="148" t="s">
        <v>52</v>
      </c>
      <c r="C12" s="150">
        <v>0</v>
      </c>
      <c r="D12" s="150" t="s">
        <v>25</v>
      </c>
      <c r="E12" s="150">
        <v>294</v>
      </c>
      <c r="F12" s="150" t="s">
        <v>34</v>
      </c>
      <c r="G12" s="148">
        <f t="shared" si="0"/>
        <v>0</v>
      </c>
    </row>
    <row r="13" spans="1:9">
      <c r="A13" s="148">
        <v>9</v>
      </c>
      <c r="B13" s="148" t="s">
        <v>53</v>
      </c>
      <c r="C13" s="150">
        <v>0</v>
      </c>
      <c r="D13" s="150" t="s">
        <v>25</v>
      </c>
      <c r="E13" s="150">
        <v>300</v>
      </c>
      <c r="F13" s="150" t="s">
        <v>34</v>
      </c>
      <c r="G13" s="148">
        <f t="shared" si="0"/>
        <v>0</v>
      </c>
    </row>
    <row r="14" spans="1:9">
      <c r="A14" s="148">
        <v>10</v>
      </c>
      <c r="B14" s="148" t="s">
        <v>54</v>
      </c>
      <c r="C14" s="150">
        <v>1</v>
      </c>
      <c r="D14" s="150" t="s">
        <v>25</v>
      </c>
      <c r="E14" s="150">
        <v>300</v>
      </c>
      <c r="F14" s="150" t="s">
        <v>34</v>
      </c>
      <c r="G14" s="148">
        <f t="shared" si="0"/>
        <v>300</v>
      </c>
    </row>
    <row r="15" spans="1:9">
      <c r="A15" s="148"/>
      <c r="B15" s="151"/>
      <c r="C15" s="151"/>
      <c r="D15" s="151"/>
      <c r="E15" s="151"/>
      <c r="F15" s="151"/>
      <c r="G15" s="148">
        <f>SUM(G5:G14)</f>
        <v>300</v>
      </c>
    </row>
    <row r="17" spans="1:9" ht="21">
      <c r="A17" s="231" t="s">
        <v>56</v>
      </c>
      <c r="B17" s="231"/>
      <c r="C17" s="231"/>
      <c r="D17" s="231"/>
      <c r="E17" s="231"/>
      <c r="F17" s="231"/>
      <c r="G17" s="231"/>
      <c r="H17" s="152"/>
    </row>
    <row r="26" spans="1:9" ht="15">
      <c r="H26" s="153"/>
      <c r="I26" s="153"/>
    </row>
    <row r="27" spans="1:9" ht="15">
      <c r="H27" s="154"/>
      <c r="I27" s="154"/>
    </row>
    <row r="28" spans="1:9" ht="15">
      <c r="H28" s="49"/>
      <c r="I28" s="49"/>
    </row>
    <row r="34" spans="7:7" ht="15">
      <c r="G34" s="153" t="s">
        <v>36</v>
      </c>
    </row>
    <row r="35" spans="7:7" ht="15">
      <c r="G35" s="154" t="s">
        <v>37</v>
      </c>
    </row>
    <row r="36" spans="7:7" ht="15">
      <c r="G36" s="155" t="str">
        <f>Abstract!A30</f>
        <v>VASO</v>
      </c>
    </row>
  </sheetData>
  <mergeCells count="3">
    <mergeCell ref="A17:G17"/>
    <mergeCell ref="A3:G3"/>
    <mergeCell ref="B1:I1"/>
  </mergeCells>
  <phoneticPr fontId="0" type="noConversion"/>
  <pageMargins left="0.78" right="0.5" top="1" bottom="0.69" header="0.5" footer="0.5"/>
  <pageSetup paperSize="9" scale="8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Estimate</vt:lpstr>
      <vt:lpstr>Abstract</vt:lpstr>
      <vt:lpstr>Measurement</vt:lpstr>
      <vt:lpstr>TEST-SITE</vt:lpstr>
      <vt:lpstr>Abstract!Print_Area</vt:lpstr>
      <vt:lpstr>Estimate!Print_Area</vt:lpstr>
      <vt:lpstr>Measurement!Print_Area</vt:lpstr>
      <vt:lpstr>'TEST-SITE'!Print_Area</vt:lpstr>
      <vt:lpstr>Abstract!Print_Titles</vt:lpstr>
    </vt:vector>
  </TitlesOfParts>
  <Company>PATEL ENGINEERS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DIVYAKANT</dc:creator>
  <cp:lastModifiedBy>Admin</cp:lastModifiedBy>
  <cp:lastPrinted>2026-09-29T06:32:39Z</cp:lastPrinted>
  <dcterms:created xsi:type="dcterms:W3CDTF">2005-03-18T12:02:53Z</dcterms:created>
  <dcterms:modified xsi:type="dcterms:W3CDTF">2026-09-30T02:07:09Z</dcterms:modified>
</cp:coreProperties>
</file>