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co-pilot\grok-mvp\1.cc road\"/>
    </mc:Choice>
  </mc:AlternateContent>
  <xr:revisionPtr revIDLastSave="0" documentId="8_{F4722222-5F6C-4E97-81D8-E130AD13E19F}" xr6:coauthVersionLast="47" xr6:coauthVersionMax="47" xr10:uidLastSave="{00000000-0000-0000-0000-000000000000}"/>
  <bookViews>
    <workbookView xWindow="-108" yWindow="-108" windowWidth="23256" windowHeight="12456" activeTab="2" xr2:uid="{7FAA7868-7424-44B0-8546-0F70FFC2DA69}"/>
  </bookViews>
  <sheets>
    <sheet name="21 No. P.A. Form" sheetId="21" r:id="rId1"/>
    <sheet name="Bill" sheetId="22" r:id="rId2"/>
    <sheet name="COMP-14MU NAN" sheetId="45" r:id="rId3"/>
  </sheets>
  <externalReferences>
    <externalReference r:id="rId4"/>
  </externalReferences>
  <definedNames>
    <definedName name="_nmw1">[1]lead!$B$2</definedName>
    <definedName name="_xlnm.Print_Area" localSheetId="0">'21 No. P.A. Form'!$A$1:$J$36</definedName>
    <definedName name="_xlnm.Print_Area" localSheetId="1">Bill!$A$1:$G$21</definedName>
    <definedName name="_xlnm.Print_Area" localSheetId="2">'COMP-14MU NAN'!$A$1:$H$21</definedName>
    <definedName name="TABLE1">#REF!</definedName>
    <definedName name="TABLE2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0" i="45" l="1"/>
  <c r="G9" i="21"/>
  <c r="C2" i="45"/>
  <c r="C3" i="45"/>
  <c r="C7" i="45"/>
  <c r="C8" i="45"/>
  <c r="F8" i="45"/>
  <c r="C10" i="45"/>
  <c r="C12" i="45"/>
  <c r="D12" i="45"/>
  <c r="E12" i="45"/>
  <c r="F12" i="45"/>
  <c r="G12" i="45"/>
  <c r="H12" i="45"/>
  <c r="A1" i="22"/>
  <c r="E4" i="22"/>
  <c r="E5" i="22"/>
  <c r="E6" i="22"/>
  <c r="B7" i="22"/>
  <c r="E7" i="22"/>
  <c r="B8" i="22"/>
  <c r="E8" i="22"/>
  <c r="E9" i="22"/>
  <c r="E10" i="22"/>
  <c r="E11" i="22"/>
  <c r="E12" i="22"/>
  <c r="E13" i="22"/>
  <c r="E14" i="22"/>
  <c r="E15" i="22"/>
  <c r="C11" i="45"/>
</calcChain>
</file>

<file path=xl/sharedStrings.xml><?xml version="1.0" encoding="utf-8"?>
<sst xmlns="http://schemas.openxmlformats.org/spreadsheetml/2006/main" count="120" uniqueCount="95">
  <si>
    <t>TALUKA PANCHAYAT</t>
  </si>
  <si>
    <t>ITEM NO.5 Spreading the blindage or road crust filling the gaps in metal and levelling to camber as directed murrum. (S.O.R.P.NO.129 IT.20/26.23)</t>
  </si>
  <si>
    <t xml:space="preserve">નોંધ :- (જુઓ નિયમ - ૧૪૪) </t>
  </si>
  <si>
    <t xml:space="preserve">પી.એ.ફોર્મ </t>
  </si>
  <si>
    <t xml:space="preserve">પ્રથમ-છેવટનું બિલ </t>
  </si>
  <si>
    <t xml:space="preserve">માપ સામે તપાસ્યુ છે અને ખરૂ માલુમ પડયું છે. </t>
  </si>
  <si>
    <t>એ માપો તપાસ્યા અને જોયું અને રૂ....................... /-</t>
  </si>
  <si>
    <t xml:space="preserve">નું બિલ  મંજુર કર્યુ. </t>
  </si>
  <si>
    <t xml:space="preserve">પે.વિ.અ.ના કારકુનની ટુંકી સહી </t>
  </si>
  <si>
    <t xml:space="preserve">ઓવરશીયર </t>
  </si>
  <si>
    <t xml:space="preserve">સહી તથા તારીખ </t>
  </si>
  <si>
    <t xml:space="preserve">તપાસી  જોયુ </t>
  </si>
  <si>
    <t xml:space="preserve">મુખાલસી કરી </t>
  </si>
  <si>
    <t xml:space="preserve">હિસાબ તપાસણી કરનાર કારકુનની ટુંકી સહી </t>
  </si>
  <si>
    <t xml:space="preserve">એક્ઝીક્યુટીવ એન્જીનીઅર </t>
  </si>
  <si>
    <t xml:space="preserve">બીલની રકમ મળી </t>
  </si>
  <si>
    <t xml:space="preserve">તારીખ </t>
  </si>
  <si>
    <t xml:space="preserve">તાલુકા /જીલ્લા/પંચાયત </t>
  </si>
  <si>
    <t xml:space="preserve">નાણા મેળવનારની સહી અથવા અંગુઠાની છાપ </t>
  </si>
  <si>
    <t>નાણાં લેનાર અભણ હોય તો</t>
  </si>
  <si>
    <t xml:space="preserve">રૂ....................................) આપવા </t>
  </si>
  <si>
    <t xml:space="preserve">સાક્ષીની સહી તથા તારીખ </t>
  </si>
  <si>
    <t xml:space="preserve">તારીખ...................... ..... હિસાબનીશ </t>
  </si>
  <si>
    <t xml:space="preserve">હિસાબનીશ </t>
  </si>
  <si>
    <t xml:space="preserve">મંત્રી </t>
  </si>
  <si>
    <t xml:space="preserve">તાલુકા/ જીલ્લા/પંચાયત </t>
  </si>
  <si>
    <t xml:space="preserve">.................................તારીખનો ચેક ક્રમાંક      થી </t>
  </si>
  <si>
    <t xml:space="preserve">ખાતે ઉધાર્યા. </t>
  </si>
  <si>
    <t xml:space="preserve">પગાર કર્યા અને તે નાણાં </t>
  </si>
  <si>
    <t xml:space="preserve">ખાતાવહી પાનું </t>
  </si>
  <si>
    <t xml:space="preserve">વાઉચર  ક્રમાંક </t>
  </si>
  <si>
    <t>કામ અથવા માલની રકમ (અંદાજની પેટા સદરો પ્રમાણે સમુહમાં ગોઠવેલ)</t>
  </si>
  <si>
    <t xml:space="preserve">આજ તારીખ સુધીનું પરીણામ </t>
  </si>
  <si>
    <t xml:space="preserve">દર </t>
  </si>
  <si>
    <t xml:space="preserve">દીઠ </t>
  </si>
  <si>
    <t xml:space="preserve">આજ તારીખ સુધીની રકમ </t>
  </si>
  <si>
    <t xml:space="preserve">આગલા બીલથી આજ તારીખ સુધીની રકમ </t>
  </si>
  <si>
    <t xml:space="preserve">શેરો </t>
  </si>
  <si>
    <t xml:space="preserve">Cu.m </t>
  </si>
  <si>
    <t>no.</t>
  </si>
  <si>
    <t>Rs.</t>
  </si>
  <si>
    <t xml:space="preserve">આપવાની ચોખ્ખી રકમ </t>
  </si>
  <si>
    <t xml:space="preserve">બીલ સ્વીકાર્યાના પ્રતિકરૂપે કોન્ટ્રાક્ટર અથવા છુટક કામ કરનારની સહી તથા તારીખ </t>
  </si>
  <si>
    <t>COMPLETION CERTIFICATE</t>
  </si>
  <si>
    <t>GRANT</t>
  </si>
  <si>
    <t>:-</t>
  </si>
  <si>
    <t xml:space="preserve">NAME OF WORK </t>
  </si>
  <si>
    <t>DETAILS OF T.S.</t>
  </si>
  <si>
    <t>AMOUNT OF T.S.</t>
  </si>
  <si>
    <t>DETAILS OF A.S.</t>
  </si>
  <si>
    <t>AMOUNT OF A.S.</t>
  </si>
  <si>
    <t>NAME OF AGENCY</t>
  </si>
  <si>
    <t>DATE OF STARTING</t>
  </si>
  <si>
    <t>DATE OF COMPLETION</t>
  </si>
  <si>
    <t xml:space="preserve">ACTUAL EXPENDITURE INCURED </t>
  </si>
  <si>
    <t xml:space="preserve">FINAL MEASUREMENT RECORDED IN </t>
  </si>
  <si>
    <t>SHORT NOTED</t>
  </si>
  <si>
    <t xml:space="preserve"> </t>
  </si>
  <si>
    <t>ITEM NO.3 Supplying of murrum for binding material including filling the boxes on site with alllead and charges as directed.</t>
  </si>
  <si>
    <t>ITEM NO.4 Spreading the stone aggregate for soling / WBM including filling int. forming the surface to req. camber and gradient as directed.</t>
  </si>
  <si>
    <t xml:space="preserve">અ.મ.ઇ શ્રી ની સહી </t>
  </si>
  <si>
    <t>Add.Ass.Engineer</t>
  </si>
  <si>
    <t xml:space="preserve">FIRST &amp; FINAL BILL </t>
  </si>
  <si>
    <t>ITEM NO.1 Box cutting the road surface to proper slope and camber for making a base for road work including removing the excavated stuff and depositing on the road side slope as directed upto 50Mt.lead.</t>
  </si>
  <si>
    <t xml:space="preserve">ITEM NO.2 Supplying of crushed stone aggregate chipping etc.of hard stone of 40 to 63 mm.nominal size free from disinte granted pieces... (R.A.)    </t>
  </si>
  <si>
    <t xml:space="preserve">ITEM NO.6 Providing and laying Ordinary C.C 1:2:4: (1 cement: 2 coarse sand : 4 crushed stone aggregate 20 mm.   size )  and curing complete using trimix conreting method by using  formwork vibrating, disc vibrating machine etc complete.       </t>
  </si>
  <si>
    <t>MB NO -</t>
  </si>
  <si>
    <t>PAGE NO</t>
  </si>
  <si>
    <t xml:space="preserve">TO </t>
  </si>
  <si>
    <t>માપ નોંધ્યા તારીખ -</t>
  </si>
  <si>
    <t xml:space="preserve">તા. ઠાસરા </t>
  </si>
  <si>
    <t xml:space="preserve">સરપંચ શ્રી ગ્રામ પંચાયત </t>
  </si>
  <si>
    <t>Total</t>
  </si>
  <si>
    <t>WORK IS COMPLETED.</t>
  </si>
  <si>
    <t>યોજના:</t>
  </si>
  <si>
    <t>ITEM NO.7 Testing charges as per schedule of testing..</t>
  </si>
  <si>
    <t>Job</t>
  </si>
  <si>
    <t xml:space="preserve">ITEM NO.8 Providing and fixing number (name) plate of marble stone of required size set in C.M. 1:4 including finishing &amp; engrooving letters etc. complete.(SOR P.NO.88.IT. 87.0.0)     </t>
  </si>
  <si>
    <t>ADD 18% GST</t>
  </si>
  <si>
    <t xml:space="preserve">૧૫ મુ નાણાપંચ ગ્રામ્ય કક્ષા વર્ષ ૨૦૨૫-૨૬ પ્રથમ  હપ્તો </t>
  </si>
  <si>
    <t>04-05-2026.</t>
  </si>
  <si>
    <t xml:space="preserve">ભદ્રાસા તાબે નવાદાજીપુરામાં સી.સી. રસ્તાનું કામ. </t>
  </si>
  <si>
    <t>ભદ્રાસા</t>
  </si>
  <si>
    <t>તાલુકા પંચાયત કચેરી ઠાસરા ના હુકમ નંબર- જા. નં. વિકાસ/વશી/૧૭૯૧.  તા. ૨૩/૦૩/૨૦૨૬.</t>
  </si>
  <si>
    <t>1701,03-26.</t>
  </si>
  <si>
    <t>11-05-2026.</t>
  </si>
  <si>
    <r>
      <rPr>
        <b/>
        <sz val="12"/>
        <color indexed="53"/>
        <rFont val="Calibri"/>
        <family val="2"/>
      </rPr>
      <t>કામનું નામ :-</t>
    </r>
    <r>
      <rPr>
        <sz val="12"/>
        <color indexed="53"/>
        <rFont val="Calibri"/>
        <family val="2"/>
      </rPr>
      <t xml:space="preserve">  </t>
    </r>
  </si>
  <si>
    <r>
      <rPr>
        <b/>
        <sz val="12"/>
        <color indexed="53"/>
        <rFont val="Calibri"/>
        <family val="2"/>
      </rPr>
      <t>કોન્ટ્રાક્ટર અથવા છુટક કામ કરનારનું નામ તથા સરનામું</t>
    </r>
    <r>
      <rPr>
        <sz val="12"/>
        <color indexed="53"/>
        <rFont val="Calibri"/>
        <family val="2"/>
      </rPr>
      <t xml:space="preserve"> :- </t>
    </r>
  </si>
  <si>
    <t>પેટા વિભાગ :- ના.કા.ઇ.શ્રી, મા. અને મ. (પં.) પેટા વિભાગ,</t>
  </si>
  <si>
    <t xml:space="preserve">  ડાકોર.</t>
  </si>
  <si>
    <t xml:space="preserve">તાલુકા પંચાયત કચેરી </t>
  </si>
  <si>
    <t>જા. નં. વિકાસ/વશી/૧૭૯૧.  તા. ૨૩/૦૩/૨૦૨૬.</t>
  </si>
  <si>
    <t xml:space="preserve">ના હુકમ નંબર- </t>
  </si>
  <si>
    <t xml:space="preserve">શ્રી- વી.એ.ઠાકોર   </t>
  </si>
  <si>
    <t>અ.મ.ઇ એ માપ લીધા અને નીચે જણાવેલ માપપોથી નંબર તથા પાના નંબર ઉપર તે નોંધ્યા.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</si>
</sst>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6">
    <font>
      <sz val="10"/>
      <name val="Arial"/>
    </font>
    <font>
      <sz val="10"/>
      <name val="Arial"/>
    </font>
    <font>
      <sz val="10"/>
      <name val="Arial"/>
      <family val="2"/>
    </font>
    <font>
      <b/>
      <sz val="12"/>
      <color indexed="53"/>
      <name val="Calibri"/>
      <family val="2"/>
    </font>
    <font>
      <sz val="12"/>
      <color indexed="53"/>
      <name val="Calibri"/>
      <family val="2"/>
    </font>
    <font>
      <sz val="16"/>
      <color theme="9"/>
      <name val="Calibri"/>
      <family val="2"/>
      <scheme val="minor"/>
    </font>
    <font>
      <sz val="10"/>
      <color theme="9"/>
      <name val="Arial"/>
      <family val="2"/>
    </font>
    <font>
      <sz val="11"/>
      <color theme="9"/>
      <name val="Arial"/>
      <family val="2"/>
    </font>
    <font>
      <sz val="14"/>
      <color theme="9"/>
      <name val="સૃતી"/>
    </font>
    <font>
      <sz val="14"/>
      <color theme="9"/>
      <name val="Calibri"/>
      <family val="2"/>
      <scheme val="minor"/>
    </font>
    <font>
      <b/>
      <sz val="24"/>
      <color theme="9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9"/>
      <name val="Calibri"/>
      <family val="2"/>
    </font>
    <font>
      <sz val="12"/>
      <color theme="9"/>
      <name val="સૃતી "/>
    </font>
    <font>
      <sz val="12"/>
      <color theme="9"/>
      <name val="SRUTI"/>
    </font>
    <font>
      <sz val="14"/>
      <color theme="8"/>
      <name val="સૃતી"/>
    </font>
    <font>
      <sz val="12"/>
      <color theme="8"/>
      <name val="SRUTI"/>
    </font>
    <font>
      <sz val="12"/>
      <color theme="8"/>
      <name val="Calibri"/>
      <family val="2"/>
    </font>
    <font>
      <sz val="12"/>
      <color theme="8"/>
      <name val="Calibri"/>
      <family val="2"/>
      <scheme val="minor"/>
    </font>
    <font>
      <sz val="12"/>
      <color theme="9"/>
      <name val="Arial"/>
      <family val="2"/>
    </font>
    <font>
      <b/>
      <sz val="12"/>
      <color theme="8"/>
      <name val="Calibri"/>
      <family val="2"/>
      <scheme val="minor"/>
    </font>
    <font>
      <u val="double"/>
      <sz val="14"/>
      <color theme="9"/>
      <name val="Calibri"/>
      <family val="2"/>
      <scheme val="minor"/>
    </font>
    <font>
      <sz val="13"/>
      <color theme="9"/>
      <name val="Calibri"/>
      <family val="2"/>
      <scheme val="minor"/>
    </font>
    <font>
      <sz val="13"/>
      <color theme="9"/>
      <name val="Arial"/>
      <family val="2"/>
    </font>
    <font>
      <sz val="14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18">
    <xf numFmtId="0" fontId="0" fillId="0" borderId="0" xfId="0"/>
    <xf numFmtId="0" fontId="6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44" fontId="12" fillId="0" borderId="0" xfId="1" applyFont="1" applyBorder="1" applyAlignment="1" applyProtection="1">
      <alignment horizontal="center"/>
    </xf>
    <xf numFmtId="0" fontId="12" fillId="0" borderId="8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top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7" fillId="0" borderId="0" xfId="0" applyFont="1" applyAlignment="1" applyProtection="1">
      <alignment vertical="center" wrapText="1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0" fillId="0" borderId="0" xfId="0" applyFont="1"/>
    <xf numFmtId="0" fontId="20" fillId="0" borderId="15" xfId="2" applyFont="1" applyBorder="1" applyAlignment="1">
      <alignment vertical="top" wrapText="1"/>
    </xf>
    <xf numFmtId="2" fontId="20" fillId="0" borderId="1" xfId="2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2" fontId="20" fillId="0" borderId="0" xfId="0" applyNumberFormat="1" applyFont="1"/>
    <xf numFmtId="0" fontId="12" fillId="0" borderId="16" xfId="0" applyFont="1" applyBorder="1" applyAlignment="1">
      <alignment horizontal="right"/>
    </xf>
    <xf numFmtId="0" fontId="12" fillId="0" borderId="17" xfId="0" applyFont="1" applyBorder="1"/>
    <xf numFmtId="0" fontId="12" fillId="0" borderId="18" xfId="0" applyFont="1" applyBorder="1"/>
    <xf numFmtId="0" fontId="12" fillId="0" borderId="17" xfId="0" applyFont="1" applyBorder="1" applyAlignment="1">
      <alignment horizontal="center"/>
    </xf>
    <xf numFmtId="0" fontId="12" fillId="0" borderId="17" xfId="0" applyFont="1" applyBorder="1" applyAlignment="1">
      <alignment horizontal="right"/>
    </xf>
    <xf numFmtId="0" fontId="12" fillId="0" borderId="19" xfId="0" applyFont="1" applyBorder="1"/>
    <xf numFmtId="2" fontId="12" fillId="0" borderId="0" xfId="0" applyNumberFormat="1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3" xfId="0" applyFont="1" applyBorder="1" applyAlignment="1">
      <alignment horizontal="center" vertical="center"/>
    </xf>
    <xf numFmtId="0" fontId="12" fillId="0" borderId="0" xfId="0" applyFont="1"/>
    <xf numFmtId="2" fontId="12" fillId="0" borderId="1" xfId="0" applyNumberFormat="1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0" fontId="17" fillId="0" borderId="16" xfId="0" applyFont="1" applyBorder="1" applyAlignment="1" applyProtection="1">
      <alignment horizontal="center" vertical="center" wrapText="1"/>
      <protection locked="0"/>
    </xf>
    <xf numFmtId="0" fontId="19" fillId="0" borderId="17" xfId="0" applyFont="1" applyBorder="1" applyProtection="1">
      <protection locked="0"/>
    </xf>
    <xf numFmtId="0" fontId="19" fillId="0" borderId="17" xfId="0" applyFont="1" applyBorder="1" applyAlignment="1" applyProtection="1">
      <alignment horizontal="center"/>
      <protection locked="0"/>
    </xf>
    <xf numFmtId="0" fontId="6" fillId="0" borderId="0" xfId="0" applyFont="1"/>
    <xf numFmtId="0" fontId="23" fillId="0" borderId="1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2" fillId="0" borderId="1" xfId="0" applyFont="1" applyBorder="1"/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12" fillId="0" borderId="27" xfId="0" applyFont="1" applyBorder="1"/>
    <xf numFmtId="0" fontId="12" fillId="0" borderId="1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14" fontId="9" fillId="0" borderId="1" xfId="0" applyNumberFormat="1" applyFont="1" applyBorder="1" applyAlignment="1">
      <alignment horizontal="center" vertical="center"/>
    </xf>
    <xf numFmtId="0" fontId="12" fillId="0" borderId="28" xfId="0" applyFont="1" applyBorder="1"/>
    <xf numFmtId="0" fontId="12" fillId="0" borderId="3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0" fontId="12" fillId="0" borderId="5" xfId="0" applyFont="1" applyBorder="1"/>
    <xf numFmtId="0" fontId="12" fillId="0" borderId="32" xfId="0" applyFont="1" applyBorder="1"/>
    <xf numFmtId="0" fontId="25" fillId="0" borderId="1" xfId="0" applyFont="1" applyBorder="1" applyAlignment="1" applyProtection="1">
      <alignment horizontal="center" vertical="center"/>
      <protection locked="0"/>
    </xf>
    <xf numFmtId="0" fontId="12" fillId="0" borderId="3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6" fillId="0" borderId="1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center" vertical="center"/>
    </xf>
    <xf numFmtId="0" fontId="19" fillId="0" borderId="30" xfId="0" applyFont="1" applyBorder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6" fillId="0" borderId="1" xfId="0" applyFont="1" applyBorder="1" applyAlignment="1" applyProtection="1">
      <alignment vertical="center"/>
      <protection locked="0"/>
    </xf>
    <xf numFmtId="2" fontId="16" fillId="0" borderId="1" xfId="0" applyNumberFormat="1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>
      <alignment horizontal="left" vertical="center"/>
    </xf>
    <xf numFmtId="0" fontId="16" fillId="0" borderId="6" xfId="0" applyFont="1" applyBorder="1" applyAlignment="1" applyProtection="1">
      <alignment horizontal="left" vertical="center"/>
      <protection locked="0"/>
    </xf>
    <xf numFmtId="0" fontId="16" fillId="0" borderId="17" xfId="0" applyFont="1" applyBorder="1" applyAlignment="1" applyProtection="1">
      <alignment horizontal="left" vertical="center"/>
      <protection locked="0"/>
    </xf>
    <xf numFmtId="0" fontId="16" fillId="0" borderId="7" xfId="0" applyFont="1" applyBorder="1" applyAlignment="1" applyProtection="1">
      <alignment horizontal="left" vertical="center"/>
      <protection locked="0"/>
    </xf>
    <xf numFmtId="0" fontId="22" fillId="0" borderId="1" xfId="0" applyFont="1" applyBorder="1" applyAlignment="1">
      <alignment horizontal="center" vertical="center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16" fillId="0" borderId="17" xfId="0" applyFont="1" applyBorder="1" applyAlignment="1" applyProtection="1">
      <alignment horizontal="left" vertical="center" wrapText="1"/>
      <protection locked="0"/>
    </xf>
    <xf numFmtId="0" fontId="16" fillId="0" borderId="7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>
      <alignment horizontal="left" vertical="center" wrapText="1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right"/>
    </xf>
    <xf numFmtId="0" fontId="12" fillId="0" borderId="17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21" fillId="0" borderId="24" xfId="0" applyFont="1" applyBorder="1" applyAlignment="1" applyProtection="1">
      <alignment horizontal="center" vertical="center" wrapText="1"/>
      <protection locked="0"/>
    </xf>
    <xf numFmtId="0" fontId="19" fillId="0" borderId="25" xfId="0" applyFont="1" applyBorder="1" applyAlignment="1" applyProtection="1">
      <alignment horizontal="center" vertical="center" wrapText="1"/>
      <protection locked="0"/>
    </xf>
    <xf numFmtId="0" fontId="19" fillId="0" borderId="26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Normal 2" xfId="2" xr:uid="{CCE21EAE-BF74-475B-813D-3463B5F7879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278130</xdr:colOff>
      <xdr:row>4</xdr:row>
      <xdr:rowOff>87630</xdr:rowOff>
    </xdr:from>
    <xdr:to>
      <xdr:col>6</xdr:col>
      <xdr:colOff>344880</xdr:colOff>
      <xdr:row>4</xdr:row>
      <xdr:rowOff>621030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88E495-1476-22FC-00AC-DE83E58B3F9A}"/>
            </a:ext>
          </a:extLst>
        </xdr:cNvPr>
        <xdr:cNvSpPr txBox="1"/>
      </xdr:nvSpPr>
      <xdr:spPr>
        <a:xfrm>
          <a:off x="3333750" y="1533525"/>
          <a:ext cx="87630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3600" b="1"/>
            <a:t>21</a:t>
          </a:r>
          <a:endParaRPr lang="en-US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Rushi/Desktop/Khokhar/Modasa%20B%20V%20Shah/Slab%20Drain/ESTRWBM1.XLS" TargetMode="External"/><Relationship Id="rId1" Type="http://schemas.openxmlformats.org/officeDocument/2006/relationships/externalLinkPath" Target="/Documents%20and%20Settings/Rushi/Desktop/Khokhar/Modasa%20B%20V%20Shah/Slab%20Drain/ESTRWBM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ST"/>
      <sheetName val="MEAS"/>
      <sheetName val="R.A."/>
      <sheetName val="MTCOST"/>
      <sheetName val="lead"/>
      <sheetName val="face"/>
      <sheetName val="GD.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NAME OF WORK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574A-47A0-4FA1-B52F-6946BFF2030E}">
  <sheetPr>
    <tabColor rgb="FFFFFF00"/>
  </sheetPr>
  <dimension ref="A1:Q36"/>
  <sheetViews>
    <sheetView view="pageBreakPreview" zoomScale="98" zoomScaleNormal="100" zoomScaleSheetLayoutView="98" workbookViewId="0">
      <selection activeCell="G2" sqref="G2:G3"/>
    </sheetView>
  </sheetViews>
  <sheetFormatPr defaultColWidth="9.109375" defaultRowHeight="13.2"/>
  <cols>
    <col min="1" max="5" width="9.109375" style="1"/>
    <col min="6" max="6" width="12.33203125" style="1" customWidth="1"/>
    <col min="7" max="7" width="9.109375" style="1"/>
    <col min="8" max="8" width="9.109375" style="1" customWidth="1"/>
    <col min="9" max="9" width="23.88671875" style="1" customWidth="1"/>
    <col min="10" max="10" width="20.88671875" style="1" customWidth="1"/>
    <col min="11" max="16384" width="9.109375" style="1"/>
  </cols>
  <sheetData>
    <row r="1" spans="1:17" ht="31.5" customHeight="1">
      <c r="A1" s="92" t="s">
        <v>62</v>
      </c>
      <c r="B1" s="92"/>
      <c r="C1" s="92"/>
      <c r="D1" s="92"/>
      <c r="E1" s="92"/>
      <c r="F1" s="92"/>
      <c r="G1" s="92"/>
      <c r="H1" s="92"/>
      <c r="I1" s="92"/>
      <c r="J1" s="92"/>
    </row>
    <row r="2" spans="1:17" s="3" customFormat="1" ht="19.5" customHeight="1">
      <c r="A2" s="2"/>
      <c r="G2" s="89" t="s">
        <v>74</v>
      </c>
      <c r="H2" s="87" t="s">
        <v>79</v>
      </c>
      <c r="I2" s="87"/>
      <c r="J2" s="87"/>
    </row>
    <row r="3" spans="1:17" s="5" customFormat="1" ht="19.5" customHeight="1">
      <c r="A3" s="4" t="s">
        <v>2</v>
      </c>
      <c r="B3" s="4"/>
      <c r="C3" s="4"/>
      <c r="G3" s="90"/>
      <c r="H3" s="88"/>
      <c r="I3" s="88"/>
      <c r="J3" s="88"/>
    </row>
    <row r="4" spans="1:17" ht="23.25" customHeight="1">
      <c r="A4" s="95" t="s">
        <v>3</v>
      </c>
      <c r="B4" s="95"/>
      <c r="C4" s="95"/>
      <c r="D4" s="95"/>
      <c r="E4" s="95"/>
      <c r="F4" s="95"/>
      <c r="G4" s="95"/>
      <c r="H4" s="95"/>
      <c r="I4" s="95"/>
      <c r="J4" s="95"/>
    </row>
    <row r="5" spans="1:17" ht="57.75" customHeight="1">
      <c r="A5" s="6"/>
      <c r="B5" s="7"/>
      <c r="C5" s="7"/>
      <c r="D5" s="7"/>
      <c r="E5" s="7"/>
      <c r="F5" s="7"/>
      <c r="G5" s="7"/>
      <c r="H5" s="7"/>
      <c r="I5" s="96" t="s">
        <v>4</v>
      </c>
      <c r="J5" s="97"/>
    </row>
    <row r="6" spans="1:17" ht="24" customHeight="1">
      <c r="A6" s="22" t="s">
        <v>88</v>
      </c>
      <c r="B6" s="22"/>
      <c r="C6" s="22"/>
      <c r="D6" s="22"/>
      <c r="E6" s="22"/>
      <c r="F6" s="22"/>
      <c r="G6" s="27" t="s">
        <v>89</v>
      </c>
      <c r="H6" s="22"/>
      <c r="I6" s="71"/>
      <c r="J6" s="98"/>
    </row>
    <row r="7" spans="1:17" ht="37.5" customHeight="1">
      <c r="A7" s="93" t="s">
        <v>86</v>
      </c>
      <c r="B7" s="94"/>
      <c r="C7" s="102" t="s">
        <v>81</v>
      </c>
      <c r="D7" s="102"/>
      <c r="E7" s="102"/>
      <c r="F7" s="102"/>
      <c r="G7" s="102"/>
      <c r="H7" s="102"/>
      <c r="I7" s="102"/>
      <c r="J7" s="26" t="s">
        <v>70</v>
      </c>
      <c r="Q7" s="1">
        <v>12</v>
      </c>
    </row>
    <row r="8" spans="1:17" ht="25.5" customHeight="1">
      <c r="A8" s="8" t="s">
        <v>87</v>
      </c>
      <c r="B8" s="9"/>
      <c r="C8" s="9"/>
      <c r="D8" s="9"/>
      <c r="E8" s="9"/>
      <c r="F8" s="9"/>
      <c r="G8" s="91" t="s">
        <v>71</v>
      </c>
      <c r="H8" s="91"/>
      <c r="I8" s="91"/>
      <c r="J8" s="25" t="s">
        <v>82</v>
      </c>
      <c r="Q8" s="1">
        <v>20</v>
      </c>
    </row>
    <row r="9" spans="1:17" s="12" customFormat="1" ht="32.25" customHeight="1">
      <c r="A9" s="10"/>
      <c r="B9" s="11"/>
      <c r="C9" s="11"/>
      <c r="D9" s="11"/>
      <c r="E9" s="99" t="s">
        <v>90</v>
      </c>
      <c r="F9" s="99"/>
      <c r="G9" s="24" t="str">
        <f>J7</f>
        <v xml:space="preserve">તા. ઠાસરા </v>
      </c>
      <c r="H9" s="23" t="s">
        <v>92</v>
      </c>
      <c r="I9" s="100" t="s">
        <v>91</v>
      </c>
      <c r="J9" s="101"/>
      <c r="Q9" s="12">
        <v>8</v>
      </c>
    </row>
    <row r="10" spans="1:17" ht="20.25" customHeight="1">
      <c r="A10" s="13" t="s">
        <v>5</v>
      </c>
      <c r="B10" s="14"/>
      <c r="C10" s="14"/>
      <c r="D10" s="14"/>
      <c r="E10" s="14"/>
      <c r="F10" s="15"/>
      <c r="G10" s="14" t="s">
        <v>6</v>
      </c>
      <c r="H10" s="14"/>
      <c r="I10" s="14"/>
      <c r="J10" s="16"/>
      <c r="Q10" s="1">
        <v>26</v>
      </c>
    </row>
    <row r="11" spans="1:17" ht="20.25" customHeight="1">
      <c r="A11" s="13"/>
      <c r="B11" s="14"/>
      <c r="C11" s="14"/>
      <c r="D11" s="14"/>
      <c r="E11" s="14"/>
      <c r="F11" s="14"/>
      <c r="G11" s="14" t="s">
        <v>7</v>
      </c>
      <c r="H11" s="14"/>
      <c r="I11" s="17"/>
      <c r="J11" s="16"/>
      <c r="Q11" s="1">
        <v>12</v>
      </c>
    </row>
    <row r="12" spans="1:17" ht="20.25" customHeight="1">
      <c r="A12" s="13"/>
      <c r="B12" s="14"/>
      <c r="C12" s="14"/>
      <c r="D12" s="14"/>
      <c r="E12" s="14"/>
      <c r="F12" s="14"/>
      <c r="G12" s="14"/>
      <c r="H12" s="14"/>
      <c r="I12" s="14"/>
      <c r="J12" s="16"/>
    </row>
    <row r="13" spans="1:17" ht="20.25" customHeight="1">
      <c r="A13" s="13"/>
      <c r="B13" s="14"/>
      <c r="C13" s="14"/>
      <c r="D13" s="14"/>
      <c r="E13" s="14"/>
      <c r="F13" s="14"/>
      <c r="G13" s="14"/>
      <c r="H13" s="14"/>
      <c r="I13" s="14"/>
      <c r="J13" s="16"/>
    </row>
    <row r="14" spans="1:17" ht="20.25" customHeight="1">
      <c r="A14" s="13" t="s">
        <v>8</v>
      </c>
      <c r="B14" s="14"/>
      <c r="C14" s="14"/>
      <c r="D14" s="14"/>
      <c r="E14" s="14"/>
      <c r="F14" s="14"/>
      <c r="G14" s="14" t="s">
        <v>8</v>
      </c>
      <c r="H14" s="14"/>
      <c r="I14" s="14"/>
      <c r="J14" s="16"/>
    </row>
    <row r="15" spans="1:17" ht="20.25" customHeight="1">
      <c r="A15" s="13" t="s">
        <v>9</v>
      </c>
      <c r="B15" s="14"/>
      <c r="C15" s="14"/>
      <c r="D15" s="14"/>
      <c r="E15" s="14"/>
      <c r="F15" s="14"/>
      <c r="G15" s="71" t="s">
        <v>9</v>
      </c>
      <c r="H15" s="71"/>
      <c r="I15" s="14"/>
      <c r="J15" s="16"/>
    </row>
    <row r="16" spans="1:17" ht="20.25" customHeight="1">
      <c r="A16" s="13"/>
      <c r="B16" s="14"/>
      <c r="C16" s="14"/>
      <c r="D16" s="14"/>
      <c r="E16" s="14"/>
      <c r="F16" s="14"/>
      <c r="G16" s="14"/>
      <c r="H16" s="14"/>
      <c r="I16" s="14"/>
      <c r="J16" s="16"/>
    </row>
    <row r="17" spans="1:15" ht="20.25" customHeight="1">
      <c r="A17" s="13" t="s">
        <v>10</v>
      </c>
      <c r="B17" s="14"/>
      <c r="C17" s="14"/>
      <c r="D17" s="14"/>
      <c r="E17" s="14"/>
      <c r="F17" s="14"/>
      <c r="G17" s="14" t="s">
        <v>10</v>
      </c>
      <c r="H17" s="14"/>
      <c r="I17" s="14"/>
      <c r="J17" s="16"/>
    </row>
    <row r="18" spans="1:15" ht="20.25" customHeight="1">
      <c r="A18" s="13"/>
      <c r="B18" s="14"/>
      <c r="C18" s="14"/>
      <c r="D18" s="14"/>
      <c r="E18" s="14"/>
      <c r="F18" s="14"/>
      <c r="G18" s="14"/>
      <c r="H18" s="14"/>
      <c r="I18" s="14"/>
      <c r="J18" s="16"/>
    </row>
    <row r="19" spans="1:15" ht="20.25" customHeight="1">
      <c r="A19" s="13"/>
      <c r="B19" s="14"/>
      <c r="C19" s="14"/>
      <c r="D19" s="14"/>
      <c r="E19" s="14"/>
      <c r="F19" s="14"/>
      <c r="G19" s="14"/>
      <c r="H19" s="14"/>
      <c r="I19" s="14"/>
      <c r="J19" s="16"/>
    </row>
    <row r="20" spans="1:15" ht="20.25" customHeight="1">
      <c r="A20" s="13" t="s">
        <v>11</v>
      </c>
      <c r="B20" s="14"/>
      <c r="C20" s="14"/>
      <c r="D20" s="14"/>
      <c r="E20" s="14"/>
      <c r="F20" s="14"/>
      <c r="G20" s="14" t="s">
        <v>12</v>
      </c>
      <c r="H20" s="14"/>
      <c r="I20" s="14"/>
      <c r="J20" s="16"/>
      <c r="O20" s="1" t="s">
        <v>57</v>
      </c>
    </row>
    <row r="21" spans="1:15" ht="20.25" customHeight="1">
      <c r="A21" s="13" t="s">
        <v>13</v>
      </c>
      <c r="B21" s="14"/>
      <c r="C21" s="14"/>
      <c r="D21" s="14"/>
      <c r="E21" s="14"/>
      <c r="F21" s="14"/>
      <c r="G21" s="14" t="s">
        <v>14</v>
      </c>
      <c r="H21" s="14"/>
      <c r="I21" s="14"/>
      <c r="J21" s="16"/>
    </row>
    <row r="22" spans="1:15" ht="20.25" customHeight="1">
      <c r="A22" s="13" t="s">
        <v>15</v>
      </c>
      <c r="B22" s="14"/>
      <c r="C22" s="14"/>
      <c r="D22" s="14"/>
      <c r="E22" s="14"/>
      <c r="F22" s="14"/>
      <c r="G22" s="14"/>
      <c r="H22" s="14"/>
      <c r="I22" s="14"/>
      <c r="J22" s="16"/>
    </row>
    <row r="23" spans="1:15" ht="20.25" customHeight="1">
      <c r="A23" s="18" t="s">
        <v>16</v>
      </c>
      <c r="B23" s="14"/>
      <c r="C23" s="14"/>
      <c r="D23" s="14"/>
      <c r="E23" s="14"/>
      <c r="F23" s="14"/>
      <c r="G23" s="14" t="s">
        <v>17</v>
      </c>
      <c r="H23" s="14"/>
      <c r="I23" s="14"/>
      <c r="J23" s="16"/>
    </row>
    <row r="24" spans="1:15" ht="20.25" customHeight="1">
      <c r="A24" s="13" t="s">
        <v>18</v>
      </c>
      <c r="B24" s="14"/>
      <c r="C24" s="14"/>
      <c r="D24" s="14"/>
      <c r="E24" s="14"/>
      <c r="F24" s="14"/>
      <c r="G24" s="14"/>
      <c r="H24" s="14"/>
      <c r="I24" s="14"/>
      <c r="J24" s="16"/>
    </row>
    <row r="25" spans="1:15" ht="20.25" customHeight="1">
      <c r="A25" s="13"/>
      <c r="B25" s="14"/>
      <c r="C25" s="14"/>
      <c r="D25" s="14"/>
      <c r="E25" s="14"/>
      <c r="F25" s="14"/>
      <c r="G25" s="14" t="s">
        <v>19</v>
      </c>
      <c r="H25" s="14"/>
      <c r="I25" s="14"/>
      <c r="J25" s="16"/>
    </row>
    <row r="26" spans="1:15" ht="20.25" customHeight="1">
      <c r="A26" s="13" t="s">
        <v>20</v>
      </c>
      <c r="B26" s="14"/>
      <c r="C26" s="14"/>
      <c r="D26" s="14"/>
      <c r="E26" s="14"/>
      <c r="F26" s="14"/>
      <c r="G26" s="14" t="s">
        <v>21</v>
      </c>
      <c r="H26" s="14"/>
      <c r="I26" s="14"/>
      <c r="J26" s="16"/>
    </row>
    <row r="27" spans="1:15" ht="20.25" customHeight="1">
      <c r="A27" s="13" t="s">
        <v>22</v>
      </c>
      <c r="B27" s="14"/>
      <c r="C27" s="14"/>
      <c r="D27" s="14"/>
      <c r="E27" s="14"/>
      <c r="F27" s="14"/>
      <c r="G27" s="14"/>
      <c r="H27" s="14"/>
      <c r="I27" s="14"/>
      <c r="J27" s="16"/>
    </row>
    <row r="28" spans="1:15" ht="20.25" customHeight="1">
      <c r="A28" s="13"/>
      <c r="B28" s="14"/>
      <c r="C28" s="14"/>
      <c r="D28" s="14"/>
      <c r="E28" s="14"/>
      <c r="F28" s="14"/>
      <c r="G28" s="14"/>
      <c r="H28" s="14"/>
      <c r="I28" s="14"/>
      <c r="J28" s="16"/>
    </row>
    <row r="29" spans="1:15" ht="20.25" customHeight="1">
      <c r="A29" s="13" t="s">
        <v>23</v>
      </c>
      <c r="B29" s="14"/>
      <c r="C29" s="14"/>
      <c r="D29" s="14"/>
      <c r="E29" s="14"/>
      <c r="F29" s="14"/>
      <c r="G29" s="14" t="s">
        <v>24</v>
      </c>
      <c r="H29" s="14"/>
      <c r="I29" s="14"/>
      <c r="J29" s="16"/>
    </row>
    <row r="30" spans="1:15" ht="20.25" customHeight="1">
      <c r="A30" s="13" t="s">
        <v>25</v>
      </c>
      <c r="B30" s="14"/>
      <c r="C30" s="14"/>
      <c r="D30" s="14"/>
      <c r="E30" s="14"/>
      <c r="F30" s="14"/>
      <c r="G30" s="14" t="s">
        <v>25</v>
      </c>
      <c r="H30" s="14"/>
      <c r="I30" s="14"/>
      <c r="J30" s="16"/>
    </row>
    <row r="31" spans="1:15" ht="20.25" customHeight="1">
      <c r="A31" s="13" t="s">
        <v>26</v>
      </c>
      <c r="B31" s="14"/>
      <c r="C31" s="14"/>
      <c r="D31" s="14"/>
      <c r="E31" s="14"/>
      <c r="F31" s="14"/>
      <c r="G31" s="14"/>
      <c r="H31" s="14"/>
      <c r="I31" s="14"/>
      <c r="J31" s="16"/>
    </row>
    <row r="32" spans="1:15" ht="20.25" customHeight="1">
      <c r="A32" s="13" t="s">
        <v>27</v>
      </c>
      <c r="B32" s="14"/>
      <c r="C32" s="14"/>
      <c r="D32" s="14"/>
      <c r="E32" s="14"/>
      <c r="F32" s="14"/>
      <c r="G32" s="14" t="s">
        <v>28</v>
      </c>
      <c r="H32" s="14"/>
      <c r="I32" s="14"/>
      <c r="J32" s="16"/>
    </row>
    <row r="33" spans="1:10" ht="20.25" customHeight="1">
      <c r="A33" s="13"/>
      <c r="B33" s="14"/>
      <c r="C33" s="14"/>
      <c r="D33" s="14"/>
      <c r="E33" s="14"/>
      <c r="F33" s="14"/>
      <c r="G33" s="14"/>
      <c r="H33" s="14"/>
      <c r="I33" s="14"/>
      <c r="J33" s="16"/>
    </row>
    <row r="34" spans="1:10" ht="20.25" customHeight="1">
      <c r="A34" s="13"/>
      <c r="B34" s="14"/>
      <c r="C34" s="14"/>
      <c r="D34" s="14"/>
      <c r="E34" s="14"/>
      <c r="F34" s="14"/>
      <c r="G34" s="14" t="s">
        <v>29</v>
      </c>
      <c r="H34" s="14"/>
      <c r="I34" s="14"/>
      <c r="J34" s="16"/>
    </row>
    <row r="35" spans="1:10" ht="20.25" customHeight="1">
      <c r="A35" s="13" t="s">
        <v>30</v>
      </c>
      <c r="B35" s="14"/>
      <c r="C35" s="14"/>
      <c r="D35" s="14"/>
      <c r="E35" s="14"/>
      <c r="F35" s="14"/>
      <c r="G35" s="14"/>
      <c r="H35" s="14"/>
      <c r="I35" s="14"/>
      <c r="J35" s="16"/>
    </row>
    <row r="36" spans="1:10" ht="20.25" customHeight="1" thickBot="1">
      <c r="A36" s="19"/>
      <c r="B36" s="20"/>
      <c r="C36" s="20"/>
      <c r="D36" s="20"/>
      <c r="E36" s="20"/>
      <c r="F36" s="20"/>
      <c r="G36" s="20"/>
      <c r="H36" s="20"/>
      <c r="I36" s="20"/>
      <c r="J36" s="21"/>
    </row>
  </sheetData>
  <mergeCells count="12">
    <mergeCell ref="G15:H15"/>
    <mergeCell ref="A4:J4"/>
    <mergeCell ref="I5:J5"/>
    <mergeCell ref="I6:J6"/>
    <mergeCell ref="E9:F9"/>
    <mergeCell ref="I9:J9"/>
    <mergeCell ref="C7:I7"/>
    <mergeCell ref="H2:J3"/>
    <mergeCell ref="G2:G3"/>
    <mergeCell ref="G8:I8"/>
    <mergeCell ref="A1:J1"/>
    <mergeCell ref="A7:B7"/>
  </mergeCells>
  <pageMargins left="0.73" right="0.39" top="0.59" bottom="0.75" header="0.3" footer="0.3"/>
  <pageSetup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D053-7001-4048-A723-3D07D47F6FA5}">
  <sheetPr>
    <tabColor rgb="FFFFFF00"/>
  </sheetPr>
  <dimension ref="A1:I49"/>
  <sheetViews>
    <sheetView view="pageBreakPreview" topLeftCell="A9" zoomScale="96" zoomScaleNormal="96" zoomScaleSheetLayoutView="96" workbookViewId="0">
      <selection activeCell="F18" sqref="F18"/>
    </sheetView>
  </sheetViews>
  <sheetFormatPr defaultColWidth="9.109375" defaultRowHeight="15"/>
  <cols>
    <col min="1" max="1" width="52" style="28" bestFit="1" customWidth="1"/>
    <col min="2" max="2" width="11.5546875" style="28" bestFit="1" customWidth="1"/>
    <col min="3" max="3" width="9.5546875" style="28" bestFit="1" customWidth="1"/>
    <col min="4" max="4" width="9.109375" style="28"/>
    <col min="5" max="5" width="10.6640625" style="33" bestFit="1" customWidth="1"/>
    <col min="6" max="6" width="15.109375" style="28" customWidth="1"/>
    <col min="7" max="16384" width="9.109375" style="28"/>
  </cols>
  <sheetData>
    <row r="1" spans="1:9" ht="29.25" customHeight="1" thickTop="1">
      <c r="A1" s="110" t="str">
        <f>'21 No. P.A. Form'!C7</f>
        <v xml:space="preserve">ભદ્રાસા તાબે નવાદાજીપુરામાં સી.સી. રસ્તાનું કામ. </v>
      </c>
      <c r="B1" s="111"/>
      <c r="C1" s="111"/>
      <c r="D1" s="111"/>
      <c r="E1" s="111"/>
      <c r="F1" s="111"/>
      <c r="G1" s="112"/>
    </row>
    <row r="2" spans="1:9">
      <c r="A2" s="113" t="s">
        <v>31</v>
      </c>
      <c r="B2" s="115" t="s">
        <v>32</v>
      </c>
      <c r="C2" s="115" t="s">
        <v>33</v>
      </c>
      <c r="D2" s="115" t="s">
        <v>34</v>
      </c>
      <c r="E2" s="116" t="s">
        <v>35</v>
      </c>
      <c r="F2" s="115" t="s">
        <v>36</v>
      </c>
      <c r="G2" s="117" t="s">
        <v>37</v>
      </c>
    </row>
    <row r="3" spans="1:9">
      <c r="A3" s="114"/>
      <c r="B3" s="115"/>
      <c r="C3" s="115"/>
      <c r="D3" s="115"/>
      <c r="E3" s="116"/>
      <c r="F3" s="115"/>
      <c r="G3" s="117"/>
    </row>
    <row r="4" spans="1:9" ht="75">
      <c r="A4" s="29" t="s">
        <v>63</v>
      </c>
      <c r="B4" s="46">
        <v>99.9</v>
      </c>
      <c r="C4" s="30">
        <v>158.12</v>
      </c>
      <c r="D4" s="31" t="s">
        <v>38</v>
      </c>
      <c r="E4" s="45">
        <f>B4*C4</f>
        <v>15796.188000000002</v>
      </c>
      <c r="F4" s="31"/>
      <c r="G4" s="32"/>
    </row>
    <row r="5" spans="1:9" ht="45">
      <c r="A5" s="29" t="s">
        <v>64</v>
      </c>
      <c r="B5" s="46">
        <v>55.5</v>
      </c>
      <c r="C5" s="30">
        <v>684.6</v>
      </c>
      <c r="D5" s="31" t="s">
        <v>38</v>
      </c>
      <c r="E5" s="45">
        <f t="shared" ref="E5:E11" si="0">B5*C5</f>
        <v>37995.300000000003</v>
      </c>
      <c r="F5" s="31"/>
      <c r="G5" s="32"/>
    </row>
    <row r="6" spans="1:9" ht="45">
      <c r="A6" s="29" t="s">
        <v>58</v>
      </c>
      <c r="B6" s="46">
        <v>16.5</v>
      </c>
      <c r="C6" s="30">
        <v>173.51</v>
      </c>
      <c r="D6" s="31" t="s">
        <v>38</v>
      </c>
      <c r="E6" s="45">
        <f t="shared" si="0"/>
        <v>2862.915</v>
      </c>
      <c r="F6" s="31"/>
      <c r="G6" s="32"/>
    </row>
    <row r="7" spans="1:9" ht="45">
      <c r="A7" s="29" t="s">
        <v>59</v>
      </c>
      <c r="B7" s="46">
        <f>B5</f>
        <v>55.5</v>
      </c>
      <c r="C7" s="30">
        <v>249.75</v>
      </c>
      <c r="D7" s="31" t="s">
        <v>38</v>
      </c>
      <c r="E7" s="45">
        <f t="shared" si="0"/>
        <v>13861.125</v>
      </c>
      <c r="F7" s="31"/>
      <c r="G7" s="32"/>
    </row>
    <row r="8" spans="1:9" ht="45">
      <c r="A8" s="29" t="s">
        <v>1</v>
      </c>
      <c r="B8" s="46">
        <f>B6</f>
        <v>16.5</v>
      </c>
      <c r="C8" s="30">
        <v>147.47</v>
      </c>
      <c r="D8" s="31" t="s">
        <v>38</v>
      </c>
      <c r="E8" s="45">
        <f t="shared" si="0"/>
        <v>2433.2550000000001</v>
      </c>
      <c r="F8" s="31"/>
      <c r="G8" s="32"/>
    </row>
    <row r="9" spans="1:9" ht="75" customHeight="1">
      <c r="A9" s="29" t="s">
        <v>65</v>
      </c>
      <c r="B9" s="46">
        <v>49.95</v>
      </c>
      <c r="C9" s="30">
        <v>4915.01</v>
      </c>
      <c r="D9" s="31" t="s">
        <v>38</v>
      </c>
      <c r="E9" s="45">
        <f t="shared" si="0"/>
        <v>245504.74950000003</v>
      </c>
      <c r="F9" s="31"/>
      <c r="G9" s="32"/>
    </row>
    <row r="10" spans="1:9" ht="30">
      <c r="A10" s="29" t="s">
        <v>75</v>
      </c>
      <c r="B10" s="46">
        <v>1</v>
      </c>
      <c r="C10" s="30">
        <v>2656</v>
      </c>
      <c r="D10" s="31" t="s">
        <v>76</v>
      </c>
      <c r="E10" s="45">
        <f>B10*C10</f>
        <v>2656</v>
      </c>
      <c r="F10" s="31"/>
      <c r="G10" s="32"/>
    </row>
    <row r="11" spans="1:9" ht="60">
      <c r="A11" s="29" t="s">
        <v>77</v>
      </c>
      <c r="B11" s="46">
        <v>0</v>
      </c>
      <c r="C11" s="30">
        <v>306.14</v>
      </c>
      <c r="D11" s="31" t="s">
        <v>39</v>
      </c>
      <c r="E11" s="45">
        <f t="shared" si="0"/>
        <v>0</v>
      </c>
      <c r="F11" s="31"/>
      <c r="G11" s="32"/>
    </row>
    <row r="12" spans="1:9" ht="19.5" customHeight="1">
      <c r="A12" s="105" t="s">
        <v>72</v>
      </c>
      <c r="B12" s="106"/>
      <c r="C12" s="107"/>
      <c r="D12" s="31" t="s">
        <v>40</v>
      </c>
      <c r="E12" s="45">
        <f>SUM(E4:E11)</f>
        <v>321109.53250000003</v>
      </c>
      <c r="F12" s="31"/>
      <c r="G12" s="32"/>
      <c r="I12" s="33"/>
    </row>
    <row r="13" spans="1:9" ht="19.5" customHeight="1">
      <c r="A13" s="105" t="s">
        <v>78</v>
      </c>
      <c r="B13" s="106"/>
      <c r="C13" s="107"/>
      <c r="D13" s="31" t="s">
        <v>40</v>
      </c>
      <c r="E13" s="45">
        <f>E12*18%</f>
        <v>57799.715850000001</v>
      </c>
      <c r="F13" s="31"/>
      <c r="G13" s="32"/>
      <c r="I13" s="33"/>
    </row>
    <row r="14" spans="1:9" ht="19.5" customHeight="1">
      <c r="A14" s="105" t="s">
        <v>72</v>
      </c>
      <c r="B14" s="106"/>
      <c r="C14" s="107"/>
      <c r="D14" s="31" t="s">
        <v>40</v>
      </c>
      <c r="E14" s="45">
        <f>E12+E13</f>
        <v>378909.24835000001</v>
      </c>
      <c r="F14" s="31"/>
      <c r="G14" s="32"/>
      <c r="I14" s="33"/>
    </row>
    <row r="15" spans="1:9" ht="19.5" customHeight="1">
      <c r="A15" s="105" t="s">
        <v>41</v>
      </c>
      <c r="B15" s="106"/>
      <c r="C15" s="107"/>
      <c r="D15" s="31" t="s">
        <v>40</v>
      </c>
      <c r="E15" s="45">
        <f>ROUNDDOWN(E14,0)</f>
        <v>378909</v>
      </c>
      <c r="F15" s="31"/>
      <c r="G15" s="32"/>
    </row>
    <row r="16" spans="1:9" ht="27.75" customHeight="1">
      <c r="A16" s="47" t="s">
        <v>93</v>
      </c>
      <c r="B16" s="108" t="s">
        <v>94</v>
      </c>
      <c r="C16" s="108"/>
      <c r="D16" s="108"/>
      <c r="E16" s="108"/>
      <c r="F16" s="108"/>
      <c r="G16" s="109"/>
    </row>
    <row r="17" spans="1:7" ht="15" customHeight="1">
      <c r="A17" s="34" t="s">
        <v>69</v>
      </c>
      <c r="B17" s="48" t="s">
        <v>85</v>
      </c>
      <c r="C17" s="35"/>
      <c r="D17" s="35"/>
      <c r="E17" s="35"/>
      <c r="F17" s="35"/>
      <c r="G17" s="36"/>
    </row>
    <row r="18" spans="1:7" ht="19.5" customHeight="1">
      <c r="A18" s="34" t="s">
        <v>66</v>
      </c>
      <c r="B18" s="49">
        <v>275</v>
      </c>
      <c r="C18" s="38" t="s">
        <v>67</v>
      </c>
      <c r="D18" s="49">
        <v>14</v>
      </c>
      <c r="E18" s="37" t="s">
        <v>68</v>
      </c>
      <c r="F18" s="49">
        <v>15</v>
      </c>
      <c r="G18" s="36"/>
    </row>
    <row r="19" spans="1:7" ht="19.5" customHeight="1">
      <c r="A19" s="39"/>
      <c r="B19" s="11"/>
      <c r="C19" s="11"/>
      <c r="D19" s="11"/>
      <c r="E19" s="40"/>
      <c r="F19" s="11"/>
      <c r="G19" s="41"/>
    </row>
    <row r="20" spans="1:7" ht="19.5" customHeight="1">
      <c r="A20" s="39"/>
      <c r="B20" s="103" t="s">
        <v>42</v>
      </c>
      <c r="C20" s="103"/>
      <c r="D20" s="103"/>
      <c r="E20" s="103"/>
      <c r="F20" s="103"/>
      <c r="G20" s="41"/>
    </row>
    <row r="21" spans="1:7" ht="25.5" customHeight="1" thickBot="1">
      <c r="A21" s="42" t="s">
        <v>60</v>
      </c>
      <c r="B21" s="104"/>
      <c r="C21" s="104"/>
      <c r="D21" s="104"/>
      <c r="E21" s="104"/>
      <c r="F21" s="104"/>
      <c r="G21" s="43"/>
    </row>
    <row r="22" spans="1:7" ht="16.2" thickTop="1">
      <c r="A22" s="44"/>
      <c r="B22" s="11"/>
      <c r="C22" s="11"/>
      <c r="D22" s="11"/>
      <c r="E22" s="40"/>
      <c r="F22" s="11"/>
      <c r="G22" s="11"/>
    </row>
    <row r="23" spans="1:7" ht="15.6">
      <c r="A23" s="44"/>
      <c r="B23" s="11"/>
      <c r="C23" s="11"/>
      <c r="D23" s="11"/>
      <c r="E23" s="40"/>
      <c r="F23" s="11"/>
      <c r="G23" s="11"/>
    </row>
    <row r="24" spans="1:7" ht="15.6">
      <c r="A24" s="44"/>
      <c r="B24" s="11"/>
      <c r="C24" s="11"/>
      <c r="D24" s="11"/>
      <c r="E24" s="40"/>
      <c r="F24" s="11"/>
      <c r="G24" s="11"/>
    </row>
    <row r="25" spans="1:7" ht="15.6">
      <c r="A25" s="44"/>
      <c r="B25" s="11"/>
      <c r="C25" s="11"/>
      <c r="D25" s="11"/>
      <c r="E25" s="40"/>
      <c r="F25" s="11"/>
      <c r="G25" s="11"/>
    </row>
    <row r="26" spans="1:7" ht="15.6">
      <c r="A26" s="44"/>
      <c r="B26" s="11"/>
      <c r="C26" s="11"/>
      <c r="D26" s="11"/>
      <c r="E26" s="40"/>
      <c r="F26" s="11"/>
      <c r="G26" s="11"/>
    </row>
    <row r="27" spans="1:7" ht="15.6">
      <c r="A27" s="44"/>
      <c r="B27" s="11"/>
      <c r="C27" s="11"/>
      <c r="D27" s="11"/>
      <c r="E27" s="40"/>
      <c r="F27" s="11"/>
      <c r="G27" s="11"/>
    </row>
    <row r="28" spans="1:7" ht="15.6">
      <c r="A28" s="44"/>
      <c r="B28" s="11"/>
      <c r="C28" s="11"/>
      <c r="D28" s="11"/>
      <c r="E28" s="40"/>
      <c r="F28" s="11"/>
      <c r="G28" s="11"/>
    </row>
    <row r="29" spans="1:7" ht="15.6">
      <c r="A29" s="44"/>
      <c r="B29" s="11"/>
      <c r="C29" s="11"/>
      <c r="D29" s="11"/>
      <c r="E29" s="40"/>
      <c r="F29" s="11"/>
      <c r="G29" s="11"/>
    </row>
    <row r="30" spans="1:7" ht="15.6">
      <c r="A30" s="44"/>
      <c r="B30" s="11"/>
      <c r="C30" s="11"/>
      <c r="D30" s="11"/>
      <c r="E30" s="40"/>
      <c r="F30" s="11"/>
      <c r="G30" s="11"/>
    </row>
    <row r="31" spans="1:7" ht="15.6">
      <c r="A31" s="44"/>
      <c r="B31" s="11"/>
      <c r="C31" s="11"/>
      <c r="D31" s="11"/>
      <c r="E31" s="40"/>
      <c r="F31" s="11"/>
      <c r="G31" s="11"/>
    </row>
    <row r="32" spans="1:7" ht="15.6">
      <c r="A32" s="44"/>
      <c r="B32" s="11"/>
      <c r="C32" s="11"/>
      <c r="D32" s="11"/>
      <c r="E32" s="40"/>
      <c r="F32" s="11"/>
      <c r="G32" s="11"/>
    </row>
    <row r="33" spans="1:7" ht="15.6">
      <c r="A33" s="44"/>
      <c r="B33" s="11"/>
      <c r="C33" s="11"/>
      <c r="D33" s="11"/>
      <c r="E33" s="40"/>
      <c r="F33" s="11"/>
      <c r="G33" s="11"/>
    </row>
    <row r="34" spans="1:7" ht="15.6">
      <c r="A34" s="44"/>
      <c r="B34" s="11"/>
      <c r="C34" s="11"/>
      <c r="D34" s="11"/>
      <c r="E34" s="40"/>
      <c r="F34" s="11"/>
      <c r="G34" s="11"/>
    </row>
    <row r="35" spans="1:7" ht="15.6">
      <c r="A35" s="44"/>
      <c r="B35" s="11"/>
      <c r="C35" s="11"/>
      <c r="D35" s="11"/>
      <c r="E35" s="40"/>
      <c r="F35" s="11"/>
      <c r="G35" s="11"/>
    </row>
    <row r="36" spans="1:7" ht="15.6">
      <c r="A36" s="44"/>
      <c r="B36" s="11"/>
      <c r="C36" s="11"/>
      <c r="D36" s="11"/>
      <c r="E36" s="40"/>
      <c r="F36" s="11"/>
      <c r="G36" s="11"/>
    </row>
    <row r="37" spans="1:7" ht="15.6">
      <c r="A37" s="44"/>
      <c r="B37" s="11"/>
      <c r="C37" s="11"/>
      <c r="D37" s="11"/>
      <c r="E37" s="40"/>
      <c r="F37" s="11"/>
      <c r="G37" s="11"/>
    </row>
    <row r="38" spans="1:7" ht="15.6">
      <c r="A38" s="44"/>
      <c r="B38" s="11"/>
      <c r="C38" s="11"/>
      <c r="D38" s="11"/>
      <c r="E38" s="40"/>
      <c r="F38" s="11"/>
      <c r="G38" s="11"/>
    </row>
    <row r="39" spans="1:7" ht="15.6">
      <c r="A39" s="44"/>
      <c r="B39" s="11"/>
      <c r="C39" s="11"/>
      <c r="D39" s="11"/>
      <c r="E39" s="40"/>
      <c r="F39" s="11"/>
      <c r="G39" s="11"/>
    </row>
    <row r="40" spans="1:7" ht="15.6">
      <c r="A40" s="44"/>
      <c r="B40" s="11"/>
      <c r="C40" s="11"/>
      <c r="D40" s="11"/>
      <c r="E40" s="40"/>
      <c r="F40" s="11"/>
      <c r="G40" s="11"/>
    </row>
    <row r="41" spans="1:7" ht="15.6">
      <c r="A41" s="44"/>
      <c r="B41" s="11"/>
      <c r="C41" s="11"/>
      <c r="D41" s="11"/>
      <c r="E41" s="40"/>
      <c r="F41" s="11"/>
      <c r="G41" s="11"/>
    </row>
    <row r="42" spans="1:7" ht="15.6">
      <c r="A42" s="44"/>
      <c r="B42" s="11"/>
      <c r="C42" s="11"/>
      <c r="D42" s="11"/>
      <c r="E42" s="40"/>
      <c r="F42" s="11"/>
      <c r="G42" s="11"/>
    </row>
    <row r="43" spans="1:7" ht="15.6">
      <c r="A43" s="44"/>
      <c r="B43" s="11"/>
      <c r="C43" s="11"/>
      <c r="D43" s="11"/>
      <c r="E43" s="40"/>
      <c r="F43" s="11"/>
      <c r="G43" s="11"/>
    </row>
    <row r="44" spans="1:7" ht="15.6">
      <c r="A44" s="44"/>
      <c r="B44" s="11"/>
      <c r="C44" s="11"/>
      <c r="D44" s="11"/>
      <c r="E44" s="40"/>
      <c r="F44" s="11"/>
      <c r="G44" s="11"/>
    </row>
    <row r="45" spans="1:7" ht="15.6">
      <c r="A45" s="44"/>
      <c r="B45" s="11"/>
      <c r="C45" s="11"/>
      <c r="D45" s="11"/>
      <c r="E45" s="40"/>
      <c r="F45" s="11"/>
      <c r="G45" s="11"/>
    </row>
    <row r="46" spans="1:7" ht="15.6">
      <c r="A46" s="44"/>
      <c r="B46" s="11"/>
      <c r="C46" s="11"/>
      <c r="D46" s="11"/>
      <c r="E46" s="40"/>
      <c r="F46" s="11"/>
      <c r="G46" s="11"/>
    </row>
    <row r="47" spans="1:7" ht="15.6">
      <c r="A47" s="44"/>
      <c r="B47" s="11"/>
      <c r="C47" s="11"/>
      <c r="D47" s="11"/>
      <c r="E47" s="40"/>
      <c r="F47" s="11"/>
      <c r="G47" s="11"/>
    </row>
    <row r="48" spans="1:7" ht="15.6">
      <c r="A48" s="44"/>
      <c r="B48" s="11"/>
      <c r="C48" s="11"/>
      <c r="D48" s="11"/>
      <c r="E48" s="40"/>
      <c r="F48" s="11"/>
      <c r="G48" s="11"/>
    </row>
    <row r="49" spans="1:7" ht="15.6">
      <c r="A49" s="44"/>
      <c r="B49" s="11"/>
      <c r="C49" s="11"/>
      <c r="D49" s="11"/>
      <c r="E49" s="40"/>
      <c r="F49" s="11"/>
      <c r="G49" s="11"/>
    </row>
  </sheetData>
  <mergeCells count="14">
    <mergeCell ref="A1:G1"/>
    <mergeCell ref="A2:A3"/>
    <mergeCell ref="B2:B3"/>
    <mergeCell ref="C2:C3"/>
    <mergeCell ref="D2:D3"/>
    <mergeCell ref="E2:E3"/>
    <mergeCell ref="F2:F3"/>
    <mergeCell ref="G2:G3"/>
    <mergeCell ref="B20:F21"/>
    <mergeCell ref="A12:C12"/>
    <mergeCell ref="A15:C15"/>
    <mergeCell ref="A13:C13"/>
    <mergeCell ref="A14:C14"/>
    <mergeCell ref="B16:G16"/>
  </mergeCells>
  <pageMargins left="0.65" right="0.43" top="0.61" bottom="0.42" header="0.3" footer="0.3"/>
  <pageSetup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B336-0AE0-4234-B2FD-29E080BE0C60}">
  <sheetPr>
    <tabColor rgb="FFFFFF00"/>
  </sheetPr>
  <dimension ref="A1:Q22"/>
  <sheetViews>
    <sheetView tabSelected="1" view="pageBreakPreview" topLeftCell="A2" zoomScale="95" zoomScaleNormal="100" zoomScaleSheetLayoutView="95" workbookViewId="0">
      <selection activeCell="A20" sqref="A20:B20"/>
    </sheetView>
  </sheetViews>
  <sheetFormatPr defaultRowHeight="13.2"/>
  <cols>
    <col min="1" max="1" width="23.88671875" style="50" customWidth="1"/>
    <col min="2" max="2" width="5.88671875" style="50" customWidth="1"/>
    <col min="3" max="3" width="15.88671875" style="50" bestFit="1" customWidth="1"/>
    <col min="4" max="4" width="8.88671875" style="50"/>
    <col min="5" max="5" width="11.44140625" style="50" bestFit="1" customWidth="1"/>
    <col min="6" max="6" width="8.88671875" style="50"/>
    <col min="7" max="7" width="9.109375" style="50" customWidth="1"/>
    <col min="8" max="8" width="21.88671875" style="50" customWidth="1"/>
    <col min="9" max="16384" width="8.88671875" style="50"/>
  </cols>
  <sheetData>
    <row r="1" spans="1:17" ht="45" customHeight="1">
      <c r="A1" s="82" t="s">
        <v>43</v>
      </c>
      <c r="B1" s="82"/>
      <c r="C1" s="82"/>
      <c r="D1" s="82"/>
      <c r="E1" s="82"/>
      <c r="F1" s="82"/>
      <c r="G1" s="82"/>
      <c r="H1" s="82"/>
    </row>
    <row r="2" spans="1:17" s="52" customFormat="1" ht="26.25" customHeight="1">
      <c r="A2" s="51" t="s">
        <v>44</v>
      </c>
      <c r="B2" s="51" t="s">
        <v>45</v>
      </c>
      <c r="C2" s="72" t="str">
        <f>'21 No. P.A. Form'!H2</f>
        <v xml:space="preserve">૧૫ મુ નાણાપંચ ગ્રામ્ય કક્ષા વર્ષ ૨૦૨૫-૨૬ પ્રથમ  હપ્તો </v>
      </c>
      <c r="D2" s="72"/>
      <c r="E2" s="72"/>
      <c r="F2" s="72"/>
      <c r="G2" s="72"/>
      <c r="H2" s="72"/>
    </row>
    <row r="3" spans="1:17" s="52" customFormat="1" ht="48" customHeight="1">
      <c r="A3" s="51" t="s">
        <v>46</v>
      </c>
      <c r="B3" s="51" t="s">
        <v>45</v>
      </c>
      <c r="C3" s="83" t="str">
        <f>'21 No. P.A. Form'!C7:I7</f>
        <v xml:space="preserve">ભદ્રાસા તાબે નવાદાજીપુરામાં સી.સી. રસ્તાનું કામ. </v>
      </c>
      <c r="D3" s="84"/>
      <c r="E3" s="84"/>
      <c r="F3" s="84"/>
      <c r="G3" s="84"/>
      <c r="H3" s="85"/>
    </row>
    <row r="4" spans="1:17" ht="23.25" customHeight="1">
      <c r="A4" s="53" t="s">
        <v>47</v>
      </c>
      <c r="B4" s="53" t="s">
        <v>45</v>
      </c>
      <c r="C4" s="72" t="s">
        <v>84</v>
      </c>
      <c r="D4" s="72"/>
      <c r="E4" s="72"/>
      <c r="F4" s="72"/>
      <c r="G4" s="72"/>
      <c r="H4" s="72"/>
      <c r="I4" s="50" t="s">
        <v>57</v>
      </c>
    </row>
    <row r="5" spans="1:17" ht="30" customHeight="1">
      <c r="A5" s="54" t="s">
        <v>48</v>
      </c>
      <c r="B5" s="54" t="s">
        <v>45</v>
      </c>
      <c r="C5" s="72">
        <v>379000</v>
      </c>
      <c r="D5" s="72"/>
      <c r="E5" s="72"/>
      <c r="F5" s="72"/>
      <c r="G5" s="72"/>
      <c r="H5" s="72"/>
    </row>
    <row r="6" spans="1:17" s="56" customFormat="1" ht="41.25" customHeight="1">
      <c r="A6" s="55" t="s">
        <v>49</v>
      </c>
      <c r="B6" s="54" t="s">
        <v>45</v>
      </c>
      <c r="C6" s="83" t="s">
        <v>83</v>
      </c>
      <c r="D6" s="84"/>
      <c r="E6" s="84"/>
      <c r="F6" s="84"/>
      <c r="G6" s="84"/>
      <c r="H6" s="85"/>
      <c r="L6" s="86"/>
      <c r="M6" s="86"/>
      <c r="N6" s="86"/>
      <c r="O6" s="86"/>
      <c r="P6" s="86"/>
      <c r="Q6" s="86"/>
    </row>
    <row r="7" spans="1:17" ht="29.25" customHeight="1">
      <c r="A7" s="53" t="s">
        <v>50</v>
      </c>
      <c r="B7" s="53" t="s">
        <v>45</v>
      </c>
      <c r="C7" s="72">
        <f>C5</f>
        <v>379000</v>
      </c>
      <c r="D7" s="72"/>
      <c r="E7" s="72"/>
      <c r="F7" s="72"/>
      <c r="G7" s="72"/>
      <c r="H7" s="72"/>
    </row>
    <row r="8" spans="1:17" ht="29.25" customHeight="1">
      <c r="A8" s="53" t="s">
        <v>51</v>
      </c>
      <c r="B8" s="53" t="s">
        <v>45</v>
      </c>
      <c r="C8" s="73" t="str">
        <f>'21 No. P.A. Form'!G8</f>
        <v xml:space="preserve">સરપંચ શ્રી ગ્રામ પંચાયત </v>
      </c>
      <c r="D8" s="73"/>
      <c r="E8" s="73"/>
      <c r="F8" s="79" t="str">
        <f>'21 No. P.A. Form'!J8</f>
        <v>ભદ્રાસા</v>
      </c>
      <c r="G8" s="80"/>
      <c r="H8" s="81"/>
    </row>
    <row r="9" spans="1:17" ht="29.25" customHeight="1">
      <c r="A9" s="53" t="s">
        <v>52</v>
      </c>
      <c r="B9" s="53" t="s">
        <v>45</v>
      </c>
      <c r="C9" s="76" t="s">
        <v>80</v>
      </c>
      <c r="D9" s="76"/>
      <c r="H9" s="57"/>
    </row>
    <row r="10" spans="1:17" ht="35.25" customHeight="1">
      <c r="A10" s="53" t="s">
        <v>53</v>
      </c>
      <c r="B10" s="53" t="s">
        <v>45</v>
      </c>
      <c r="C10" s="72" t="str">
        <f>Bill!B17</f>
        <v>11-05-2026.</v>
      </c>
      <c r="D10" s="72"/>
      <c r="H10" s="57"/>
    </row>
    <row r="11" spans="1:17" ht="29.25" customHeight="1">
      <c r="A11" s="58" t="s">
        <v>54</v>
      </c>
      <c r="B11" s="53" t="s">
        <v>45</v>
      </c>
      <c r="C11" s="77">
        <f>Bill!E15</f>
        <v>378909</v>
      </c>
      <c r="D11" s="72"/>
      <c r="H11" s="57"/>
    </row>
    <row r="12" spans="1:17" ht="31.2">
      <c r="A12" s="58" t="s">
        <v>55</v>
      </c>
      <c r="B12" s="53" t="s">
        <v>45</v>
      </c>
      <c r="C12" s="59" t="str">
        <f>Bill!A18</f>
        <v>MB NO -</v>
      </c>
      <c r="D12" s="69">
        <f>Bill!B18</f>
        <v>275</v>
      </c>
      <c r="E12" s="59" t="str">
        <f>Bill!C18</f>
        <v>PAGE NO</v>
      </c>
      <c r="F12" s="69">
        <f>Bill!D18</f>
        <v>14</v>
      </c>
      <c r="G12" s="59" t="str">
        <f>Bill!E18</f>
        <v xml:space="preserve">TO </v>
      </c>
      <c r="H12" s="69">
        <f>Bill!F18</f>
        <v>15</v>
      </c>
    </row>
    <row r="13" spans="1:17" ht="29.25" customHeight="1">
      <c r="A13" s="60" t="s">
        <v>56</v>
      </c>
      <c r="B13" s="53" t="s">
        <v>45</v>
      </c>
      <c r="C13" s="78" t="s">
        <v>73</v>
      </c>
      <c r="D13" s="78"/>
      <c r="E13" s="78"/>
      <c r="F13" s="78"/>
      <c r="G13" s="78"/>
      <c r="H13" s="61"/>
    </row>
    <row r="14" spans="1:17" ht="15.6">
      <c r="A14" s="62"/>
      <c r="B14" s="63"/>
      <c r="C14" s="63"/>
      <c r="D14" s="63"/>
      <c r="E14" s="63"/>
      <c r="F14" s="63"/>
      <c r="G14" s="63"/>
      <c r="H14" s="64"/>
    </row>
    <row r="15" spans="1:17" ht="15.6">
      <c r="A15" s="65"/>
      <c r="B15" s="44"/>
      <c r="C15" s="44"/>
      <c r="D15" s="44"/>
      <c r="E15" s="44"/>
      <c r="F15" s="44"/>
      <c r="G15" s="44"/>
      <c r="H15" s="57"/>
    </row>
    <row r="16" spans="1:17" ht="15.6">
      <c r="A16" s="65"/>
      <c r="B16" s="44"/>
      <c r="C16" s="44"/>
      <c r="D16" s="44"/>
      <c r="E16" s="44"/>
      <c r="F16" s="44"/>
      <c r="G16" s="44"/>
      <c r="H16" s="57"/>
    </row>
    <row r="17" spans="1:8" ht="15.6">
      <c r="A17" s="65"/>
      <c r="B17" s="44"/>
      <c r="C17" s="44"/>
      <c r="D17" s="44"/>
      <c r="E17" s="44"/>
      <c r="F17" s="44"/>
      <c r="G17" s="44"/>
      <c r="H17" s="57"/>
    </row>
    <row r="18" spans="1:8" ht="15.6">
      <c r="A18" s="70" t="s">
        <v>61</v>
      </c>
      <c r="B18" s="71"/>
      <c r="C18" s="44"/>
      <c r="F18" s="44"/>
      <c r="G18" s="44"/>
      <c r="H18" s="57"/>
    </row>
    <row r="19" spans="1:8" ht="15.6">
      <c r="A19" s="70" t="s">
        <v>0</v>
      </c>
      <c r="B19" s="71"/>
      <c r="C19" s="44"/>
      <c r="F19" s="44"/>
      <c r="G19" s="44"/>
      <c r="H19" s="57"/>
    </row>
    <row r="20" spans="1:8" ht="15.6">
      <c r="A20" s="74" t="str">
        <f>'21 No. P.A. Form'!J7</f>
        <v xml:space="preserve">તા. ઠાસરા </v>
      </c>
      <c r="B20" s="75"/>
      <c r="C20" s="44"/>
      <c r="F20" s="44"/>
      <c r="G20" s="44"/>
      <c r="H20" s="57"/>
    </row>
    <row r="21" spans="1:8" ht="15.6">
      <c r="A21" s="66"/>
      <c r="B21" s="67"/>
      <c r="C21" s="67"/>
      <c r="D21" s="67"/>
      <c r="E21" s="67"/>
      <c r="F21" s="67"/>
      <c r="G21" s="67"/>
      <c r="H21" s="68"/>
    </row>
    <row r="22" spans="1:8" ht="15.6">
      <c r="A22" s="44"/>
      <c r="B22" s="44"/>
      <c r="C22" s="44"/>
      <c r="D22" s="44"/>
      <c r="E22" s="44"/>
      <c r="F22" s="44"/>
      <c r="G22" s="44"/>
      <c r="H22" s="44"/>
    </row>
  </sheetData>
  <mergeCells count="17">
    <mergeCell ref="A1:H1"/>
    <mergeCell ref="C2:H2"/>
    <mergeCell ref="C3:H3"/>
    <mergeCell ref="L6:Q6"/>
    <mergeCell ref="C4:H4"/>
    <mergeCell ref="C5:H5"/>
    <mergeCell ref="C6:H6"/>
    <mergeCell ref="A19:B19"/>
    <mergeCell ref="C7:H7"/>
    <mergeCell ref="C8:E8"/>
    <mergeCell ref="A20:B20"/>
    <mergeCell ref="C9:D9"/>
    <mergeCell ref="C10:D10"/>
    <mergeCell ref="C11:D11"/>
    <mergeCell ref="C13:G13"/>
    <mergeCell ref="A18:B18"/>
    <mergeCell ref="F8:H8"/>
  </mergeCells>
  <pageMargins left="0.54" right="0.43" top="0.75" bottom="0.25" header="0.3" footer="0.3"/>
  <pageSetup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21 No. P.A. Form</vt:lpstr>
      <vt:lpstr>Bill</vt:lpstr>
      <vt:lpstr>COMP-14MU NAN</vt:lpstr>
      <vt:lpstr>'21 No. P.A. Form'!Print_Area</vt:lpstr>
      <vt:lpstr>Bill!Print_Area</vt:lpstr>
      <vt:lpstr>'COMP-14MU NAN'!Print_Area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vanraj2592@outlook.com</cp:lastModifiedBy>
  <cp:lastPrinted>2026-06-11T09:57:19Z</cp:lastPrinted>
  <dcterms:created xsi:type="dcterms:W3CDTF">1996-10-14T23:33:28Z</dcterms:created>
  <dcterms:modified xsi:type="dcterms:W3CDTF">2026-09-26T18:10:32Z</dcterms:modified>
</cp:coreProperties>
</file>