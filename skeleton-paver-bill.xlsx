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grok-mvp\2.pevar block\"/>
    </mc:Choice>
  </mc:AlternateContent>
  <bookViews>
    <workbookView xWindow="120" yWindow="180" windowWidth="20736" windowHeight="11760"/>
  </bookViews>
  <sheets>
    <sheet name="21 No. P.A. Form" sheetId="21" r:id="rId1"/>
    <sheet name="Bill" sheetId="22" r:id="rId2"/>
    <sheet name="COMP-14MU NAN" sheetId="45" r:id="rId3"/>
  </sheets>
  <externalReferences>
    <externalReference r:id="rId4"/>
  </externalReferences>
  <definedNames>
    <definedName name="_nmw1">[1]lead!$B$2</definedName>
    <definedName name="_xlnm.Print_Area" localSheetId="0">'21 No. P.A. Form'!$A$1:$J$36</definedName>
    <definedName name="_xlnm.Print_Area" localSheetId="1">Bill!$A$1:$G$19</definedName>
    <definedName name="_xlnm.Print_Area" localSheetId="2">'COMP-14MU NAN'!$A$1:$H$21</definedName>
    <definedName name="TABLE1">#REF!</definedName>
    <definedName name="TABLE2">#REF!</definedName>
  </definedNames>
  <calcPr calcId="152511"/>
  <fileRecoveryPr autoRecover="0"/>
</workbook>
</file>

<file path=xl/calcChain.xml><?xml version="1.0" encoding="utf-8"?>
<calcChain xmlns="http://schemas.openxmlformats.org/spreadsheetml/2006/main">
  <c r="C2" i="45" l="1"/>
  <c r="G9" i="21"/>
  <c r="C10" i="45" l="1"/>
  <c r="E8" i="22"/>
  <c r="C12" i="45"/>
  <c r="C7" i="45"/>
  <c r="E9" i="22"/>
  <c r="E6" i="22"/>
  <c r="E5" i="22"/>
  <c r="E4" i="22"/>
  <c r="H12" i="45"/>
  <c r="F12" i="45"/>
  <c r="D12" i="45"/>
  <c r="G12" i="45"/>
  <c r="E12" i="45"/>
  <c r="F8" i="45"/>
  <c r="C8" i="45"/>
  <c r="C3" i="45"/>
  <c r="A1" i="22"/>
  <c r="E7" i="22"/>
  <c r="E10" i="22"/>
  <c r="E11" i="22"/>
  <c r="E12" i="22"/>
  <c r="E13" i="22"/>
  <c r="C11" i="45"/>
</calcChain>
</file>

<file path=xl/sharedStrings.xml><?xml version="1.0" encoding="utf-8"?>
<sst xmlns="http://schemas.openxmlformats.org/spreadsheetml/2006/main" count="117" uniqueCount="97">
  <si>
    <t>TALUKA PANCHAYAT</t>
  </si>
  <si>
    <t xml:space="preserve">નોંધ :- (જુઓ નિયમ - ૧૪૪) </t>
  </si>
  <si>
    <t xml:space="preserve">પી.એ.ફોર્મ </t>
  </si>
  <si>
    <t xml:space="preserve">પ્રથમ-છેવટનું બિલ </t>
  </si>
  <si>
    <t xml:space="preserve">માપ સામે તપાસ્યુ છે અને ખરૂ માલુમ પડયું છે. </t>
  </si>
  <si>
    <t>એ માપો તપાસ્યા અને જોયું અને રૂ....................... /-</t>
  </si>
  <si>
    <t xml:space="preserve">નું બિલ  મંજુર કર્યુ. </t>
  </si>
  <si>
    <t xml:space="preserve">પે.વિ.અ.ના કારકુનની ટુંકી સહી </t>
  </si>
  <si>
    <t xml:space="preserve">ઓવરશીયર </t>
  </si>
  <si>
    <t xml:space="preserve">સહી તથા તારીખ </t>
  </si>
  <si>
    <t xml:space="preserve">તપાસી  જોયુ </t>
  </si>
  <si>
    <t xml:space="preserve">મુખાલસી કરી </t>
  </si>
  <si>
    <t xml:space="preserve">હિસાબ તપાસણી કરનાર કારકુનની ટુંકી સહી </t>
  </si>
  <si>
    <t xml:space="preserve">એક્ઝીક્યુટીવ એન્જીનીઅર </t>
  </si>
  <si>
    <t xml:space="preserve">બીલની રકમ મળી </t>
  </si>
  <si>
    <t xml:space="preserve">તારીખ </t>
  </si>
  <si>
    <t xml:space="preserve">તાલુકા /જીલ્લા/પંચાયત </t>
  </si>
  <si>
    <t xml:space="preserve">નાણા મેળવનારની સહી અથવા અંગુઠાની છાપ </t>
  </si>
  <si>
    <t>નાણાં લેનાર અભણ હોય તો</t>
  </si>
  <si>
    <t xml:space="preserve">રૂ....................................) આપવા </t>
  </si>
  <si>
    <t xml:space="preserve">સાક્ષીની સહી તથા તારીખ </t>
  </si>
  <si>
    <t xml:space="preserve">તારીખ...................... ..... હિસાબનીશ </t>
  </si>
  <si>
    <t xml:space="preserve">હિસાબનીશ </t>
  </si>
  <si>
    <t xml:space="preserve">મંત્રી </t>
  </si>
  <si>
    <t xml:space="preserve">તાલુકા/ જીલ્લા/પંચાયત </t>
  </si>
  <si>
    <t xml:space="preserve">.................................તારીખનો ચેક ક્રમાંક      થી </t>
  </si>
  <si>
    <t xml:space="preserve">ખાતે ઉધાર્યા. </t>
  </si>
  <si>
    <t xml:space="preserve">પગાર કર્યા અને તે નાણાં </t>
  </si>
  <si>
    <t xml:space="preserve">ખાતાવહી પાનું </t>
  </si>
  <si>
    <t xml:space="preserve">વાઉચર  ક્રમાંક </t>
  </si>
  <si>
    <t>કામ અથવા માલની રકમ (અંદાજની પેટા સદરો પ્રમાણે સમુહમાં ગોઠવેલ)</t>
  </si>
  <si>
    <t xml:space="preserve">આજ તારીખ સુધીનું પરીણામ </t>
  </si>
  <si>
    <t xml:space="preserve">દર </t>
  </si>
  <si>
    <t xml:space="preserve">દીઠ </t>
  </si>
  <si>
    <t xml:space="preserve">આજ તારીખ સુધીની રકમ </t>
  </si>
  <si>
    <t xml:space="preserve">આગલા બીલથી આજ તારીખ સુધીની રકમ </t>
  </si>
  <si>
    <t xml:space="preserve">શેરો </t>
  </si>
  <si>
    <t xml:space="preserve">Cu.m </t>
  </si>
  <si>
    <t>Rs.</t>
  </si>
  <si>
    <t xml:space="preserve">આપવાની ચોખ્ખી રકમ </t>
  </si>
  <si>
    <t xml:space="preserve">બીલ સ્વીકાર્યાના પ્રતિકરૂપે કોન્ટ્રાક્ટર અથવા છુટક કામ કરનારની સહી તથા તારીખ </t>
  </si>
  <si>
    <t>COMPLETION CERTIFICATE</t>
  </si>
  <si>
    <t>GRANT</t>
  </si>
  <si>
    <t>:-</t>
  </si>
  <si>
    <t xml:space="preserve">NAME OF WORK </t>
  </si>
  <si>
    <t>DETAILS OF T.S.</t>
  </si>
  <si>
    <t>AMOUNT OF T.S.</t>
  </si>
  <si>
    <t>DETAILS OF A.S.</t>
  </si>
  <si>
    <t>AMOUNT OF A.S.</t>
  </si>
  <si>
    <t>NAME OF AGENCY</t>
  </si>
  <si>
    <t>DATE OF STARTING</t>
  </si>
  <si>
    <t>DATE OF COMPLETION</t>
  </si>
  <si>
    <t xml:space="preserve">ACTUAL EXPENDITURE INCURED </t>
  </si>
  <si>
    <t xml:space="preserve">FINAL MEASUREMENT RECORDED IN </t>
  </si>
  <si>
    <t>SHORT NOTED</t>
  </si>
  <si>
    <t xml:space="preserve"> </t>
  </si>
  <si>
    <t xml:space="preserve">અ.મ.ઇ શ્રી ની સહી </t>
  </si>
  <si>
    <t>Add.Ass.Engineer</t>
  </si>
  <si>
    <t xml:space="preserve">FIRST &amp; FINAL BILL </t>
  </si>
  <si>
    <t xml:space="preserve">THASRA </t>
  </si>
  <si>
    <t>MB NO -</t>
  </si>
  <si>
    <t>PAGE NO</t>
  </si>
  <si>
    <t xml:space="preserve">TO </t>
  </si>
  <si>
    <t>માપ નોંધ્યા તારીખ -</t>
  </si>
  <si>
    <t xml:space="preserve">તા. ઠાસરા </t>
  </si>
  <si>
    <t xml:space="preserve">સરપંચ શ્રી ગ્રામ પંચાયત </t>
  </si>
  <si>
    <t xml:space="preserve">Item No :- 2 Collecting, carting and stacking soft murum/binding material at site of work including filling the boxes etc comp.    </t>
  </si>
  <si>
    <t>Item No :- 3 Providing and fixing pre-cast Rubber Dye / steel Dye inter lockingconcrete block 60mm thick with grade of concrete M300pnumatic compressed / vibrated mechanically and as perapproved design Confirming to IS 15658 : 2006 including 35 mmSand layer for levelling and filling the joint with sand in properline and level as per guidlines of IRC : SP 63-2018 etc. Complete.</t>
  </si>
  <si>
    <t>Item No :- 4 Providing cement vata (10cm. x 10 cm. size) quarter round incement mortar 1:1 including neat cement finishing, watering etc.complete.</t>
  </si>
  <si>
    <t>SMT</t>
  </si>
  <si>
    <t>Rmt</t>
  </si>
  <si>
    <t>No</t>
  </si>
  <si>
    <t>Total</t>
  </si>
  <si>
    <t>WORK IS COMPLETED.</t>
  </si>
  <si>
    <t>Item No:- 5 Testing charges as per schedule of testing…</t>
  </si>
  <si>
    <t>Job</t>
  </si>
  <si>
    <t>Item No:- 6 Providing and fixing Number plate of Marble plate stone of required size set in C.M. 1:4 including finishing and engraving letters etc. completes.</t>
  </si>
  <si>
    <t>Add 18% GST</t>
  </si>
  <si>
    <t>29-01-2026.</t>
  </si>
  <si>
    <t>Item No :- :- 1 Box cutting the road surface to proper slope and camber for making a base for road work..</t>
  </si>
  <si>
    <t>જોરાપુરા</t>
  </si>
  <si>
    <t>તાલુકા પંચાયત કચેરી ઠાસરા ના હુકમ નંબર- જા. નં. વિકાસ/વશી/૧૭૭૩.  તા. ૨૪ /૦૩/૨૦૨૬.</t>
  </si>
  <si>
    <t xml:space="preserve">જોરાપુરા તાબે ભગવાનજી ના મુવાડા ઘંટી વાળા ફળિયામાં પેવર બ્લોકનું કામ. </t>
  </si>
  <si>
    <t>1629,03-26.</t>
  </si>
  <si>
    <r>
      <rPr>
        <b/>
        <sz val="12"/>
        <color theme="9"/>
        <rFont val="Calibri"/>
        <family val="2"/>
      </rPr>
      <t>કામનું નામ :-</t>
    </r>
    <r>
      <rPr>
        <sz val="12"/>
        <color theme="9"/>
        <rFont val="Calibri"/>
        <family val="2"/>
      </rPr>
      <t xml:space="preserve">  </t>
    </r>
  </si>
  <si>
    <r>
      <rPr>
        <b/>
        <sz val="12"/>
        <color theme="9"/>
        <rFont val="Calibri"/>
        <family val="2"/>
      </rPr>
      <t>કોન્ટ્રાક્ટર અથવા છુટક કામ કરનારનું નામ તથા સરનામું</t>
    </r>
    <r>
      <rPr>
        <sz val="12"/>
        <color theme="9"/>
        <rFont val="Calibri"/>
        <family val="2"/>
      </rPr>
      <t xml:space="preserve"> :- </t>
    </r>
  </si>
  <si>
    <t xml:space="preserve">તાલુકા પંચાયત કચેરી </t>
  </si>
  <si>
    <t xml:space="preserve"> ના હુકમ નંબર- </t>
  </si>
  <si>
    <t>જા. નં. વિકાસ/વશી/૧૭૭૩.  તા. ૨૪ /૦૩/૨૦૨૬.</t>
  </si>
  <si>
    <t>23-09-2026.</t>
  </si>
  <si>
    <t xml:space="preserve">પેટા વિભાગ :- </t>
  </si>
  <si>
    <t xml:space="preserve">ના.કા.ઇ.શ્રી, મા. અને મ. (પં.) પેટા વિભાગ, </t>
  </si>
  <si>
    <t xml:space="preserve"> ડાકોર.</t>
  </si>
  <si>
    <t xml:space="preserve">યોજના : </t>
  </si>
  <si>
    <t xml:space="preserve">૧૫ મુ નાણાપંચ ગ્રામ્ય કક્ષા વર્ષ ૨૦૨૪-૨૫ બીજો  હપ્તો  </t>
  </si>
  <si>
    <t xml:space="preserve">શ્રી- વી.એ.ઠાકોર  </t>
  </si>
  <si>
    <t xml:space="preserve"> અ.મ.ઇ એ માપ લીધા અને નીચે જણાવેલ માપપોથી નંબર તથા પાના નંબર ઉપર તે નોંધ્યા.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</si>
</sst>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[$-7000447]0"/>
  </numFmts>
  <fonts count="24">
    <font>
      <sz val="10"/>
      <name val="Arial"/>
    </font>
    <font>
      <sz val="10"/>
      <name val="Arial"/>
    </font>
    <font>
      <sz val="10"/>
      <name val="Arial"/>
      <family val="2"/>
    </font>
    <font>
      <sz val="14"/>
      <color theme="8"/>
      <name val="સૃતી"/>
    </font>
    <font>
      <sz val="14"/>
      <color theme="9"/>
      <name val="સૃતી"/>
    </font>
    <font>
      <sz val="16"/>
      <color theme="9"/>
      <name val="Calibri"/>
      <family val="2"/>
      <scheme val="minor"/>
    </font>
    <font>
      <sz val="10"/>
      <color theme="9"/>
      <name val="Arial"/>
      <family val="2"/>
    </font>
    <font>
      <sz val="11"/>
      <color theme="9"/>
      <name val="Arial"/>
      <family val="2"/>
    </font>
    <font>
      <sz val="14"/>
      <color theme="9"/>
      <name val="Calibri"/>
      <family val="2"/>
      <scheme val="minor"/>
    </font>
    <font>
      <b/>
      <sz val="24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2"/>
      <color theme="9"/>
      <name val="Calibri"/>
      <family val="2"/>
    </font>
    <font>
      <sz val="12"/>
      <color theme="9"/>
      <name val="Calibri"/>
      <family val="2"/>
    </font>
    <font>
      <sz val="12"/>
      <color theme="9"/>
      <name val="સૃતી "/>
    </font>
    <font>
      <sz val="12"/>
      <color theme="9"/>
      <name val="SRUTI"/>
    </font>
    <font>
      <sz val="12"/>
      <color theme="8"/>
      <name val="Calibri"/>
      <family val="2"/>
    </font>
    <font>
      <sz val="12"/>
      <color theme="8"/>
      <name val="SRUTI"/>
    </font>
    <font>
      <u val="double"/>
      <sz val="14"/>
      <color theme="9"/>
      <name val="Calibri"/>
      <family val="2"/>
      <scheme val="minor"/>
    </font>
    <font>
      <sz val="13"/>
      <color theme="9"/>
      <name val="Calibri"/>
      <family val="2"/>
      <scheme val="minor"/>
    </font>
    <font>
      <sz val="13"/>
      <color theme="9"/>
      <name val="Arial"/>
      <family val="2"/>
    </font>
    <font>
      <sz val="12"/>
      <color theme="8"/>
      <name val="Calibri"/>
      <family val="2"/>
      <scheme val="minor"/>
    </font>
    <font>
      <sz val="12"/>
      <color theme="9"/>
      <name val="Arial"/>
      <family val="2"/>
    </font>
    <font>
      <b/>
      <sz val="14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31">
    <xf numFmtId="0" fontId="0" fillId="0" borderId="0" xfId="0"/>
    <xf numFmtId="0" fontId="6" fillId="0" borderId="0" xfId="0" applyFont="1" applyProtection="1"/>
    <xf numFmtId="0" fontId="7" fillId="0" borderId="1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11" xfId="0" applyFont="1" applyBorder="1" applyProtection="1"/>
    <xf numFmtId="0" fontId="7" fillId="0" borderId="0" xfId="0" applyFont="1" applyBorder="1" applyProtection="1"/>
    <xf numFmtId="0" fontId="7" fillId="0" borderId="0" xfId="0" applyFont="1" applyProtection="1"/>
    <xf numFmtId="0" fontId="9" fillId="0" borderId="1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13" fillId="0" borderId="1" xfId="0" applyFont="1" applyBorder="1" applyAlignment="1" applyProtection="1">
      <alignment vertical="center"/>
    </xf>
    <xf numFmtId="0" fontId="13" fillId="0" borderId="0" xfId="0" applyFont="1" applyBorder="1" applyAlignment="1" applyProtection="1">
      <alignment vertical="center"/>
    </xf>
    <xf numFmtId="0" fontId="11" fillId="0" borderId="1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11" fillId="0" borderId="1" xfId="0" applyFont="1" applyBorder="1" applyProtection="1"/>
    <xf numFmtId="0" fontId="11" fillId="0" borderId="0" xfId="0" applyFont="1" applyBorder="1" applyProtection="1"/>
    <xf numFmtId="164" fontId="11" fillId="0" borderId="0" xfId="1" applyFont="1" applyBorder="1" applyProtection="1"/>
    <xf numFmtId="0" fontId="11" fillId="0" borderId="2" xfId="0" applyFont="1" applyBorder="1" applyProtection="1"/>
    <xf numFmtId="0" fontId="15" fillId="0" borderId="0" xfId="0" applyFont="1" applyBorder="1" applyProtection="1"/>
    <xf numFmtId="0" fontId="11" fillId="0" borderId="1" xfId="0" applyFont="1" applyBorder="1" applyAlignment="1" applyProtection="1">
      <alignment vertical="top"/>
    </xf>
    <xf numFmtId="0" fontId="6" fillId="0" borderId="3" xfId="0" applyFont="1" applyBorder="1" applyProtection="1"/>
    <xf numFmtId="0" fontId="6" fillId="0" borderId="4" xfId="0" applyFont="1" applyBorder="1" applyProtection="1"/>
    <xf numFmtId="0" fontId="6" fillId="0" borderId="5" xfId="0" applyFont="1" applyBorder="1" applyProtection="1"/>
    <xf numFmtId="0" fontId="3" fillId="0" borderId="2" xfId="0" applyFont="1" applyBorder="1" applyAlignment="1" applyProtection="1">
      <alignment vertical="center"/>
      <protection locked="0"/>
    </xf>
    <xf numFmtId="0" fontId="16" fillId="0" borderId="2" xfId="0" applyFont="1" applyBorder="1" applyAlignment="1" applyProtection="1">
      <alignment vertical="center"/>
      <protection locked="0"/>
    </xf>
    <xf numFmtId="0" fontId="17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vertical="center" wrapText="1"/>
    </xf>
    <xf numFmtId="0" fontId="19" fillId="0" borderId="13" xfId="0" applyFont="1" applyBorder="1" applyAlignment="1" applyProtection="1">
      <alignment vertical="center"/>
    </xf>
    <xf numFmtId="0" fontId="20" fillId="0" borderId="0" xfId="0" applyFont="1" applyAlignment="1" applyProtection="1">
      <alignment vertical="center"/>
    </xf>
    <xf numFmtId="0" fontId="11" fillId="0" borderId="13" xfId="0" applyFont="1" applyBorder="1" applyProtection="1"/>
    <xf numFmtId="0" fontId="11" fillId="0" borderId="13" xfId="0" applyFont="1" applyBorder="1" applyAlignment="1" applyProtection="1">
      <alignment vertical="center"/>
    </xf>
    <xf numFmtId="0" fontId="11" fillId="0" borderId="13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13" xfId="0" applyFont="1" applyBorder="1" applyProtection="1"/>
    <xf numFmtId="0" fontId="11" fillId="0" borderId="13" xfId="0" applyFont="1" applyBorder="1" applyAlignment="1" applyProtection="1">
      <alignment wrapText="1"/>
    </xf>
    <xf numFmtId="0" fontId="8" fillId="0" borderId="13" xfId="0" applyFont="1" applyBorder="1" applyAlignment="1" applyProtection="1">
      <alignment vertical="center"/>
    </xf>
    <xf numFmtId="0" fontId="8" fillId="0" borderId="13" xfId="0" applyFont="1" applyBorder="1" applyAlignment="1" applyProtection="1">
      <alignment horizontal="center" vertical="center"/>
    </xf>
    <xf numFmtId="0" fontId="8" fillId="0" borderId="13" xfId="0" applyFont="1" applyBorder="1" applyAlignment="1" applyProtection="1">
      <alignment horizontal="right" vertical="center"/>
    </xf>
    <xf numFmtId="0" fontId="8" fillId="0" borderId="13" xfId="0" applyFont="1" applyBorder="1" applyAlignment="1" applyProtection="1">
      <alignment horizontal="left" vertical="center"/>
    </xf>
    <xf numFmtId="0" fontId="8" fillId="0" borderId="13" xfId="0" applyFont="1" applyBorder="1" applyProtection="1"/>
    <xf numFmtId="14" fontId="8" fillId="0" borderId="13" xfId="0" applyNumberFormat="1" applyFont="1" applyBorder="1" applyAlignment="1" applyProtection="1">
      <alignment horizontal="center" vertical="center"/>
    </xf>
    <xf numFmtId="0" fontId="6" fillId="0" borderId="0" xfId="0" applyFont="1" applyBorder="1" applyProtection="1"/>
    <xf numFmtId="0" fontId="11" fillId="0" borderId="3" xfId="0" applyFont="1" applyBorder="1" applyProtection="1"/>
    <xf numFmtId="0" fontId="11" fillId="0" borderId="4" xfId="0" applyFont="1" applyBorder="1" applyProtection="1"/>
    <xf numFmtId="0" fontId="11" fillId="0" borderId="5" xfId="0" applyFont="1" applyBorder="1" applyProtection="1"/>
    <xf numFmtId="0" fontId="11" fillId="0" borderId="0" xfId="0" applyFont="1" applyProtection="1"/>
    <xf numFmtId="0" fontId="22" fillId="0" borderId="0" xfId="0" applyFont="1"/>
    <xf numFmtId="0" fontId="22" fillId="0" borderId="12" xfId="2" applyFont="1" applyBorder="1" applyAlignment="1">
      <alignment vertical="top" wrapText="1"/>
    </xf>
    <xf numFmtId="2" fontId="11" fillId="0" borderId="13" xfId="0" applyNumberFormat="1" applyFont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2" fontId="22" fillId="0" borderId="0" xfId="0" applyNumberFormat="1" applyFont="1"/>
    <xf numFmtId="0" fontId="8" fillId="0" borderId="13" xfId="0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right"/>
    </xf>
    <xf numFmtId="0" fontId="11" fillId="0" borderId="8" xfId="0" applyFont="1" applyBorder="1" applyAlignment="1"/>
    <xf numFmtId="0" fontId="11" fillId="0" borderId="9" xfId="0" applyFont="1" applyBorder="1" applyAlignment="1"/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right"/>
    </xf>
    <xf numFmtId="0" fontId="11" fillId="0" borderId="15" xfId="0" applyFont="1" applyBorder="1" applyAlignment="1"/>
    <xf numFmtId="0" fontId="11" fillId="0" borderId="0" xfId="0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/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21" fillId="0" borderId="13" xfId="0" applyNumberFormat="1" applyFont="1" applyBorder="1" applyAlignment="1" applyProtection="1">
      <alignment horizontal="center" vertical="center"/>
      <protection locked="0"/>
    </xf>
    <xf numFmtId="0" fontId="21" fillId="0" borderId="8" xfId="0" applyFont="1" applyBorder="1" applyAlignment="1" applyProtection="1">
      <protection locked="0"/>
    </xf>
    <xf numFmtId="0" fontId="21" fillId="0" borderId="8" xfId="0" applyFont="1" applyBorder="1" applyAlignment="1" applyProtection="1">
      <alignment horizontal="center"/>
      <protection locked="0"/>
    </xf>
    <xf numFmtId="0" fontId="21" fillId="0" borderId="13" xfId="0" applyFont="1" applyBorder="1" applyAlignment="1" applyProtection="1">
      <alignment vertical="center"/>
      <protection locked="0"/>
    </xf>
    <xf numFmtId="0" fontId="14" fillId="0" borderId="0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left" vertical="center"/>
    </xf>
    <xf numFmtId="0" fontId="11" fillId="0" borderId="0" xfId="0" applyFont="1" applyBorder="1" applyAlignment="1" applyProtection="1">
      <alignment horizontal="left" vertical="center"/>
    </xf>
    <xf numFmtId="0" fontId="15" fillId="0" borderId="0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/>
    </xf>
    <xf numFmtId="0" fontId="11" fillId="0" borderId="7" xfId="0" applyFont="1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</xf>
    <xf numFmtId="0" fontId="4" fillId="0" borderId="20" xfId="0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right"/>
    </xf>
    <xf numFmtId="0" fontId="8" fillId="0" borderId="13" xfId="0" applyFont="1" applyBorder="1" applyAlignment="1" applyProtection="1">
      <alignment horizontal="center"/>
    </xf>
    <xf numFmtId="0" fontId="10" fillId="0" borderId="6" xfId="0" applyFont="1" applyBorder="1" applyAlignment="1" applyProtection="1">
      <alignment horizontal="center" vertical="center"/>
    </xf>
    <xf numFmtId="0" fontId="10" fillId="0" borderId="7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/>
    </xf>
    <xf numFmtId="0" fontId="11" fillId="0" borderId="2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11" fillId="0" borderId="0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2" fontId="11" fillId="0" borderId="13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/>
    </xf>
    <xf numFmtId="165" fontId="4" fillId="0" borderId="13" xfId="0" applyNumberFormat="1" applyFont="1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 applyProtection="1">
      <alignment horizontal="left" vertical="center"/>
    </xf>
    <xf numFmtId="2" fontId="4" fillId="0" borderId="13" xfId="0" applyNumberFormat="1" applyFont="1" applyBorder="1" applyAlignment="1" applyProtection="1">
      <alignment horizontal="left" vertical="center"/>
    </xf>
    <xf numFmtId="0" fontId="8" fillId="0" borderId="1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18" fillId="0" borderId="13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</xf>
    <xf numFmtId="0" fontId="4" fillId="0" borderId="7" xfId="0" applyFont="1" applyBorder="1" applyAlignment="1" applyProtection="1">
      <alignment horizontal="left" vertical="center" wrapText="1"/>
    </xf>
    <xf numFmtId="0" fontId="4" fillId="0" borderId="13" xfId="0" applyFont="1" applyBorder="1" applyAlignment="1" applyProtection="1">
      <alignment horizontal="left" vertical="center" wrapText="1"/>
    </xf>
    <xf numFmtId="0" fontId="7" fillId="0" borderId="0" xfId="0" applyFont="1" applyBorder="1" applyAlignment="1" applyProtection="1">
      <alignment horizontal="left" vertical="center" wrapText="1"/>
    </xf>
    <xf numFmtId="165" fontId="3" fillId="0" borderId="13" xfId="0" applyNumberFormat="1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300990</xdr:colOff>
      <xdr:row>4</xdr:row>
      <xdr:rowOff>87630</xdr:rowOff>
    </xdr:from>
    <xdr:to>
      <xdr:col>6</xdr:col>
      <xdr:colOff>342935</xdr:colOff>
      <xdr:row>4</xdr:row>
      <xdr:rowOff>621030</xdr:rowOff>
    </xdr:to>
    <xdr:sp macro="" textlink="">
      <xdr:nvSpPr>
        <xdr:cNvPr id="2" name="TextBox 1"/>
        <xdr:cNvSpPr txBox="1"/>
      </xdr:nvSpPr>
      <xdr:spPr>
        <a:xfrm>
          <a:off x="3333750" y="1533525"/>
          <a:ext cx="87630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3600" b="1"/>
            <a:t>21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ushi/Desktop/Khokhar/Modasa%20B%20V%20Shah/Slab%20Drain/ESTRWB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T"/>
      <sheetName val="MEAS"/>
      <sheetName val="R.A."/>
      <sheetName val="MTCOST"/>
      <sheetName val="lead"/>
      <sheetName val="face"/>
      <sheetName val="GD.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NAME OF WORK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6"/>
  <sheetViews>
    <sheetView tabSelected="1" view="pageBreakPreview" zoomScale="98" zoomScaleNormal="100" zoomScaleSheetLayoutView="98" workbookViewId="0">
      <selection activeCell="H9" sqref="H9"/>
    </sheetView>
  </sheetViews>
  <sheetFormatPr defaultRowHeight="13.2"/>
  <cols>
    <col min="1" max="5" width="8.88671875" style="1"/>
    <col min="6" max="6" width="12.33203125" style="1" customWidth="1"/>
    <col min="7" max="7" width="11.109375" style="1" customWidth="1"/>
    <col min="8" max="8" width="9.109375" style="1" customWidth="1"/>
    <col min="9" max="9" width="23.88671875" style="1" customWidth="1"/>
    <col min="10" max="10" width="20.88671875" style="1" customWidth="1"/>
    <col min="11" max="11" width="12.33203125" style="1" bestFit="1" customWidth="1"/>
    <col min="12" max="16384" width="8.88671875" style="1"/>
  </cols>
  <sheetData>
    <row r="1" spans="1:10" ht="31.5" customHeight="1">
      <c r="A1" s="75" t="s">
        <v>58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s="4" customFormat="1" ht="19.5" customHeight="1">
      <c r="A2" s="2"/>
      <c r="B2" s="3"/>
      <c r="C2" s="3"/>
      <c r="D2" s="3"/>
      <c r="E2" s="3"/>
      <c r="F2" s="3"/>
      <c r="G2" s="85" t="s">
        <v>93</v>
      </c>
      <c r="H2" s="83" t="s">
        <v>94</v>
      </c>
      <c r="I2" s="83"/>
      <c r="J2" s="83"/>
    </row>
    <row r="3" spans="1:10" s="7" customFormat="1" ht="19.5" customHeight="1">
      <c r="A3" s="5" t="s">
        <v>1</v>
      </c>
      <c r="B3" s="5"/>
      <c r="C3" s="5"/>
      <c r="D3" s="6"/>
      <c r="E3" s="6"/>
      <c r="F3" s="6"/>
      <c r="G3" s="86"/>
      <c r="H3" s="84"/>
      <c r="I3" s="84"/>
      <c r="J3" s="84"/>
    </row>
    <row r="4" spans="1:10" ht="23.25" customHeight="1">
      <c r="A4" s="88" t="s">
        <v>2</v>
      </c>
      <c r="B4" s="88"/>
      <c r="C4" s="88"/>
      <c r="D4" s="88"/>
      <c r="E4" s="88"/>
      <c r="F4" s="88"/>
      <c r="G4" s="88"/>
      <c r="H4" s="88"/>
      <c r="I4" s="88"/>
      <c r="J4" s="88"/>
    </row>
    <row r="5" spans="1:10" ht="57.75" customHeight="1">
      <c r="A5" s="8"/>
      <c r="B5" s="9"/>
      <c r="C5" s="9"/>
      <c r="D5" s="9"/>
      <c r="E5" s="9"/>
      <c r="F5" s="9"/>
      <c r="G5" s="9"/>
      <c r="H5" s="9"/>
      <c r="I5" s="89" t="s">
        <v>3</v>
      </c>
      <c r="J5" s="90"/>
    </row>
    <row r="6" spans="1:10" ht="24" customHeight="1">
      <c r="A6" s="81" t="s">
        <v>90</v>
      </c>
      <c r="B6" s="82"/>
      <c r="C6" s="31" t="s">
        <v>91</v>
      </c>
      <c r="D6" s="31"/>
      <c r="E6" s="31"/>
      <c r="F6" s="31"/>
      <c r="G6" s="73" t="s">
        <v>92</v>
      </c>
      <c r="H6" s="31"/>
      <c r="I6" s="91"/>
      <c r="J6" s="92"/>
    </row>
    <row r="7" spans="1:10" ht="37.5" customHeight="1">
      <c r="A7" s="76" t="s">
        <v>84</v>
      </c>
      <c r="B7" s="77"/>
      <c r="C7" s="93" t="s">
        <v>82</v>
      </c>
      <c r="D7" s="93"/>
      <c r="E7" s="93"/>
      <c r="F7" s="93"/>
      <c r="G7" s="93"/>
      <c r="H7" s="93"/>
      <c r="I7" s="93"/>
      <c r="J7" s="24" t="s">
        <v>64</v>
      </c>
    </row>
    <row r="8" spans="1:10" ht="25.5" customHeight="1">
      <c r="A8" s="10" t="s">
        <v>85</v>
      </c>
      <c r="B8" s="11"/>
      <c r="C8" s="11"/>
      <c r="D8" s="11"/>
      <c r="E8" s="11"/>
      <c r="F8" s="11"/>
      <c r="G8" s="74" t="s">
        <v>65</v>
      </c>
      <c r="H8" s="74"/>
      <c r="I8" s="74"/>
      <c r="J8" s="25" t="s">
        <v>80</v>
      </c>
    </row>
    <row r="9" spans="1:10" s="14" customFormat="1" ht="32.25" customHeight="1">
      <c r="A9" s="12"/>
      <c r="B9" s="13"/>
      <c r="C9" s="13"/>
      <c r="D9" s="13"/>
      <c r="E9" s="78" t="s">
        <v>86</v>
      </c>
      <c r="F9" s="78"/>
      <c r="G9" s="26" t="str">
        <f>J7</f>
        <v xml:space="preserve">તા. ઠાસરા </v>
      </c>
      <c r="H9" s="27" t="s">
        <v>87</v>
      </c>
      <c r="I9" s="79" t="s">
        <v>88</v>
      </c>
      <c r="J9" s="80"/>
    </row>
    <row r="10" spans="1:10" ht="20.25" customHeight="1">
      <c r="A10" s="15" t="s">
        <v>4</v>
      </c>
      <c r="B10" s="16"/>
      <c r="C10" s="16"/>
      <c r="D10" s="16"/>
      <c r="E10" s="16"/>
      <c r="F10" s="17"/>
      <c r="G10" s="16" t="s">
        <v>5</v>
      </c>
      <c r="H10" s="16"/>
      <c r="I10" s="16"/>
      <c r="J10" s="18"/>
    </row>
    <row r="11" spans="1:10" ht="20.25" customHeight="1">
      <c r="A11" s="15"/>
      <c r="B11" s="16"/>
      <c r="C11" s="16"/>
      <c r="D11" s="16"/>
      <c r="E11" s="16"/>
      <c r="F11" s="16"/>
      <c r="G11" s="16" t="s">
        <v>6</v>
      </c>
      <c r="H11" s="16"/>
      <c r="I11" s="19"/>
      <c r="J11" s="18"/>
    </row>
    <row r="12" spans="1:10" ht="20.25" customHeight="1">
      <c r="A12" s="15"/>
      <c r="B12" s="16"/>
      <c r="C12" s="16"/>
      <c r="D12" s="16"/>
      <c r="E12" s="16"/>
      <c r="F12" s="16"/>
      <c r="G12" s="16"/>
      <c r="H12" s="16"/>
      <c r="I12" s="16"/>
      <c r="J12" s="18"/>
    </row>
    <row r="13" spans="1:10" ht="20.25" customHeight="1">
      <c r="A13" s="15"/>
      <c r="B13" s="16"/>
      <c r="C13" s="16"/>
      <c r="D13" s="16"/>
      <c r="E13" s="16"/>
      <c r="F13" s="16"/>
      <c r="G13" s="16"/>
      <c r="H13" s="16"/>
      <c r="I13" s="16"/>
      <c r="J13" s="18"/>
    </row>
    <row r="14" spans="1:10" ht="20.25" customHeight="1">
      <c r="A14" s="15" t="s">
        <v>7</v>
      </c>
      <c r="B14" s="16"/>
      <c r="C14" s="16"/>
      <c r="D14" s="16"/>
      <c r="E14" s="16"/>
      <c r="F14" s="16"/>
      <c r="G14" s="16" t="s">
        <v>7</v>
      </c>
      <c r="H14" s="16"/>
      <c r="I14" s="16"/>
      <c r="J14" s="18"/>
    </row>
    <row r="15" spans="1:10" ht="20.25" customHeight="1">
      <c r="A15" s="15" t="s">
        <v>8</v>
      </c>
      <c r="B15" s="16"/>
      <c r="C15" s="16"/>
      <c r="D15" s="16"/>
      <c r="E15" s="16"/>
      <c r="F15" s="16"/>
      <c r="G15" s="87" t="s">
        <v>8</v>
      </c>
      <c r="H15" s="87"/>
      <c r="I15" s="16"/>
      <c r="J15" s="18"/>
    </row>
    <row r="16" spans="1:10" ht="20.25" customHeight="1">
      <c r="A16" s="15"/>
      <c r="B16" s="16"/>
      <c r="C16" s="16"/>
      <c r="D16" s="16"/>
      <c r="E16" s="16"/>
      <c r="F16" s="16"/>
      <c r="G16" s="16"/>
      <c r="H16" s="16"/>
      <c r="I16" s="16"/>
      <c r="J16" s="18"/>
    </row>
    <row r="17" spans="1:15" ht="20.25" customHeight="1">
      <c r="A17" s="15" t="s">
        <v>9</v>
      </c>
      <c r="B17" s="16"/>
      <c r="C17" s="16"/>
      <c r="D17" s="16"/>
      <c r="E17" s="16"/>
      <c r="F17" s="16"/>
      <c r="G17" s="16" t="s">
        <v>9</v>
      </c>
      <c r="H17" s="16"/>
      <c r="I17" s="16"/>
      <c r="J17" s="18"/>
    </row>
    <row r="18" spans="1:15" ht="20.25" customHeight="1">
      <c r="A18" s="15"/>
      <c r="B18" s="16"/>
      <c r="C18" s="16"/>
      <c r="D18" s="16"/>
      <c r="E18" s="16"/>
      <c r="F18" s="16"/>
      <c r="G18" s="16"/>
      <c r="H18" s="16"/>
      <c r="I18" s="16"/>
      <c r="J18" s="18"/>
    </row>
    <row r="19" spans="1:15" ht="20.25" customHeight="1">
      <c r="A19" s="15"/>
      <c r="B19" s="16"/>
      <c r="C19" s="16"/>
      <c r="D19" s="16"/>
      <c r="E19" s="16"/>
      <c r="F19" s="16"/>
      <c r="G19" s="16"/>
      <c r="H19" s="16"/>
      <c r="I19" s="16"/>
      <c r="J19" s="18"/>
    </row>
    <row r="20" spans="1:15" ht="20.25" customHeight="1">
      <c r="A20" s="15" t="s">
        <v>10</v>
      </c>
      <c r="B20" s="16"/>
      <c r="C20" s="16"/>
      <c r="D20" s="16"/>
      <c r="E20" s="16"/>
      <c r="F20" s="16"/>
      <c r="G20" s="16" t="s">
        <v>11</v>
      </c>
      <c r="H20" s="16"/>
      <c r="I20" s="16"/>
      <c r="J20" s="18"/>
      <c r="O20" s="1" t="s">
        <v>55</v>
      </c>
    </row>
    <row r="21" spans="1:15" ht="20.25" customHeight="1">
      <c r="A21" s="15" t="s">
        <v>12</v>
      </c>
      <c r="B21" s="16"/>
      <c r="C21" s="16"/>
      <c r="D21" s="16"/>
      <c r="E21" s="16"/>
      <c r="F21" s="16"/>
      <c r="G21" s="16" t="s">
        <v>13</v>
      </c>
      <c r="H21" s="16"/>
      <c r="I21" s="16"/>
      <c r="J21" s="18"/>
    </row>
    <row r="22" spans="1:15" ht="20.25" customHeight="1">
      <c r="A22" s="15" t="s">
        <v>14</v>
      </c>
      <c r="B22" s="16"/>
      <c r="C22" s="16"/>
      <c r="D22" s="16"/>
      <c r="E22" s="16"/>
      <c r="F22" s="16"/>
      <c r="G22" s="16"/>
      <c r="H22" s="16"/>
      <c r="I22" s="16"/>
      <c r="J22" s="18"/>
    </row>
    <row r="23" spans="1:15" ht="20.25" customHeight="1">
      <c r="A23" s="20" t="s">
        <v>15</v>
      </c>
      <c r="B23" s="16"/>
      <c r="C23" s="16"/>
      <c r="D23" s="16"/>
      <c r="E23" s="16"/>
      <c r="F23" s="16"/>
      <c r="G23" s="16" t="s">
        <v>16</v>
      </c>
      <c r="H23" s="16"/>
      <c r="I23" s="16"/>
      <c r="J23" s="18"/>
    </row>
    <row r="24" spans="1:15" ht="20.25" customHeight="1">
      <c r="A24" s="15" t="s">
        <v>17</v>
      </c>
      <c r="B24" s="16"/>
      <c r="C24" s="16"/>
      <c r="D24" s="16"/>
      <c r="E24" s="16"/>
      <c r="F24" s="16"/>
      <c r="G24" s="16"/>
      <c r="H24" s="16"/>
      <c r="I24" s="16"/>
      <c r="J24" s="18"/>
    </row>
    <row r="25" spans="1:15" ht="20.25" customHeight="1">
      <c r="A25" s="15"/>
      <c r="B25" s="16"/>
      <c r="C25" s="16"/>
      <c r="D25" s="16"/>
      <c r="E25" s="16"/>
      <c r="F25" s="16"/>
      <c r="G25" s="16" t="s">
        <v>18</v>
      </c>
      <c r="H25" s="16"/>
      <c r="I25" s="16"/>
      <c r="J25" s="18"/>
    </row>
    <row r="26" spans="1:15" ht="20.25" customHeight="1">
      <c r="A26" s="15" t="s">
        <v>19</v>
      </c>
      <c r="B26" s="16"/>
      <c r="C26" s="16"/>
      <c r="D26" s="16"/>
      <c r="E26" s="16"/>
      <c r="F26" s="16"/>
      <c r="G26" s="16" t="s">
        <v>20</v>
      </c>
      <c r="H26" s="16"/>
      <c r="I26" s="16"/>
      <c r="J26" s="18"/>
    </row>
    <row r="27" spans="1:15" ht="20.25" customHeight="1">
      <c r="A27" s="15" t="s">
        <v>21</v>
      </c>
      <c r="B27" s="16"/>
      <c r="C27" s="16"/>
      <c r="D27" s="16"/>
      <c r="E27" s="16"/>
      <c r="F27" s="16"/>
      <c r="G27" s="16"/>
      <c r="H27" s="16"/>
      <c r="I27" s="16"/>
      <c r="J27" s="18"/>
    </row>
    <row r="28" spans="1:15" ht="20.25" customHeight="1">
      <c r="A28" s="15"/>
      <c r="B28" s="16"/>
      <c r="C28" s="16"/>
      <c r="D28" s="16"/>
      <c r="E28" s="16"/>
      <c r="F28" s="16"/>
      <c r="G28" s="16"/>
      <c r="H28" s="16"/>
      <c r="I28" s="16"/>
      <c r="J28" s="18"/>
    </row>
    <row r="29" spans="1:15" ht="20.25" customHeight="1">
      <c r="A29" s="15" t="s">
        <v>22</v>
      </c>
      <c r="B29" s="16"/>
      <c r="C29" s="16"/>
      <c r="D29" s="16"/>
      <c r="E29" s="16"/>
      <c r="F29" s="16"/>
      <c r="G29" s="16" t="s">
        <v>23</v>
      </c>
      <c r="H29" s="16"/>
      <c r="I29" s="16"/>
      <c r="J29" s="18"/>
    </row>
    <row r="30" spans="1:15" ht="20.25" customHeight="1">
      <c r="A30" s="15" t="s">
        <v>24</v>
      </c>
      <c r="B30" s="16"/>
      <c r="C30" s="16"/>
      <c r="D30" s="16"/>
      <c r="E30" s="16"/>
      <c r="F30" s="16"/>
      <c r="G30" s="16" t="s">
        <v>24</v>
      </c>
      <c r="H30" s="16"/>
      <c r="I30" s="16"/>
      <c r="J30" s="18"/>
    </row>
    <row r="31" spans="1:15" ht="20.25" customHeight="1">
      <c r="A31" s="15" t="s">
        <v>25</v>
      </c>
      <c r="B31" s="16"/>
      <c r="C31" s="16"/>
      <c r="D31" s="16"/>
      <c r="E31" s="16"/>
      <c r="F31" s="16"/>
      <c r="G31" s="16"/>
      <c r="H31" s="16"/>
      <c r="I31" s="16"/>
      <c r="J31" s="18"/>
    </row>
    <row r="32" spans="1:15" ht="20.25" customHeight="1">
      <c r="A32" s="15" t="s">
        <v>26</v>
      </c>
      <c r="B32" s="16"/>
      <c r="C32" s="16"/>
      <c r="D32" s="16"/>
      <c r="E32" s="16"/>
      <c r="F32" s="16"/>
      <c r="G32" s="16" t="s">
        <v>27</v>
      </c>
      <c r="H32" s="16"/>
      <c r="I32" s="16"/>
      <c r="J32" s="18"/>
    </row>
    <row r="33" spans="1:10" ht="20.25" customHeight="1">
      <c r="A33" s="15"/>
      <c r="B33" s="16"/>
      <c r="C33" s="16"/>
      <c r="D33" s="16"/>
      <c r="E33" s="16"/>
      <c r="F33" s="16"/>
      <c r="G33" s="16"/>
      <c r="H33" s="16"/>
      <c r="I33" s="16"/>
      <c r="J33" s="18"/>
    </row>
    <row r="34" spans="1:10" ht="20.25" customHeight="1">
      <c r="A34" s="15"/>
      <c r="B34" s="16"/>
      <c r="C34" s="16"/>
      <c r="D34" s="16"/>
      <c r="E34" s="16"/>
      <c r="F34" s="16"/>
      <c r="G34" s="16" t="s">
        <v>28</v>
      </c>
      <c r="H34" s="16"/>
      <c r="I34" s="16"/>
      <c r="J34" s="18"/>
    </row>
    <row r="35" spans="1:10" ht="20.25" customHeight="1">
      <c r="A35" s="15" t="s">
        <v>29</v>
      </c>
      <c r="B35" s="16"/>
      <c r="C35" s="16"/>
      <c r="D35" s="16"/>
      <c r="E35" s="16"/>
      <c r="F35" s="16"/>
      <c r="G35" s="16"/>
      <c r="H35" s="16"/>
      <c r="I35" s="16"/>
      <c r="J35" s="18"/>
    </row>
    <row r="36" spans="1:10" ht="20.25" customHeight="1" thickBot="1">
      <c r="A36" s="21"/>
      <c r="B36" s="22"/>
      <c r="C36" s="22"/>
      <c r="D36" s="22"/>
      <c r="E36" s="22"/>
      <c r="F36" s="22"/>
      <c r="G36" s="22"/>
      <c r="H36" s="22"/>
      <c r="I36" s="22"/>
      <c r="J36" s="23"/>
    </row>
  </sheetData>
  <mergeCells count="13">
    <mergeCell ref="G15:H15"/>
    <mergeCell ref="A4:J4"/>
    <mergeCell ref="I5:J5"/>
    <mergeCell ref="I6:J6"/>
    <mergeCell ref="C7:I7"/>
    <mergeCell ref="G8:I8"/>
    <mergeCell ref="A1:J1"/>
    <mergeCell ref="A7:B7"/>
    <mergeCell ref="E9:F9"/>
    <mergeCell ref="I9:J9"/>
    <mergeCell ref="A6:B6"/>
    <mergeCell ref="H2:J3"/>
    <mergeCell ref="G2:G3"/>
  </mergeCells>
  <pageMargins left="0.73" right="0.39" top="0.59" bottom="0.75" header="0.3" footer="0.3"/>
  <pageSetup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47"/>
  <sheetViews>
    <sheetView view="pageBreakPreview" zoomScale="96" zoomScaleNormal="96" zoomScaleSheetLayoutView="96" workbookViewId="0">
      <selection activeCell="B14" sqref="B14:G14"/>
    </sheetView>
  </sheetViews>
  <sheetFormatPr defaultColWidth="9.109375" defaultRowHeight="15"/>
  <cols>
    <col min="1" max="1" width="52" style="47" bestFit="1" customWidth="1"/>
    <col min="2" max="2" width="11.5546875" style="47" bestFit="1" customWidth="1"/>
    <col min="3" max="3" width="9.5546875" style="47" bestFit="1" customWidth="1"/>
    <col min="4" max="4" width="9.109375" style="47"/>
    <col min="5" max="5" width="14.6640625" style="53" bestFit="1" customWidth="1"/>
    <col min="6" max="6" width="15.109375" style="47" customWidth="1"/>
    <col min="7" max="16384" width="9.109375" style="47"/>
  </cols>
  <sheetData>
    <row r="1" spans="1:9" ht="16.2" thickTop="1">
      <c r="A1" s="101" t="str">
        <f>'21 No. P.A. Form'!C7</f>
        <v xml:space="preserve">જોરાપુરા તાબે ભગવાનજી ના મુવાડા ઘંટી વાળા ફળિયામાં પેવર બ્લોકનું કામ. </v>
      </c>
      <c r="B1" s="102"/>
      <c r="C1" s="102"/>
      <c r="D1" s="102"/>
      <c r="E1" s="102"/>
      <c r="F1" s="102"/>
      <c r="G1" s="103"/>
    </row>
    <row r="2" spans="1:9">
      <c r="A2" s="104" t="s">
        <v>30</v>
      </c>
      <c r="B2" s="106" t="s">
        <v>31</v>
      </c>
      <c r="C2" s="106" t="s">
        <v>32</v>
      </c>
      <c r="D2" s="106" t="s">
        <v>33</v>
      </c>
      <c r="E2" s="107" t="s">
        <v>34</v>
      </c>
      <c r="F2" s="106" t="s">
        <v>35</v>
      </c>
      <c r="G2" s="108" t="s">
        <v>36</v>
      </c>
    </row>
    <row r="3" spans="1:9">
      <c r="A3" s="105"/>
      <c r="B3" s="106"/>
      <c r="C3" s="106"/>
      <c r="D3" s="106"/>
      <c r="E3" s="107"/>
      <c r="F3" s="106"/>
      <c r="G3" s="108"/>
    </row>
    <row r="4" spans="1:9" ht="45">
      <c r="A4" s="48" t="s">
        <v>79</v>
      </c>
      <c r="B4" s="70">
        <v>29.36</v>
      </c>
      <c r="C4" s="50">
        <v>156.56</v>
      </c>
      <c r="D4" s="51" t="s">
        <v>37</v>
      </c>
      <c r="E4" s="49">
        <f t="shared" ref="E4:E9" si="0">B4*C4</f>
        <v>4596.6016</v>
      </c>
      <c r="F4" s="51"/>
      <c r="G4" s="52"/>
    </row>
    <row r="5" spans="1:9" ht="45">
      <c r="A5" s="48" t="s">
        <v>66</v>
      </c>
      <c r="B5" s="70">
        <v>12</v>
      </c>
      <c r="C5" s="50">
        <v>210.42</v>
      </c>
      <c r="D5" s="51" t="s">
        <v>37</v>
      </c>
      <c r="E5" s="49">
        <f t="shared" si="0"/>
        <v>2525.04</v>
      </c>
      <c r="F5" s="51"/>
      <c r="G5" s="52"/>
    </row>
    <row r="6" spans="1:9" ht="120">
      <c r="A6" s="48" t="s">
        <v>67</v>
      </c>
      <c r="B6" s="70">
        <v>83.88</v>
      </c>
      <c r="C6" s="50">
        <v>740.51</v>
      </c>
      <c r="D6" s="51" t="s">
        <v>69</v>
      </c>
      <c r="E6" s="49">
        <f t="shared" si="0"/>
        <v>62113.978799999997</v>
      </c>
      <c r="F6" s="51"/>
      <c r="G6" s="52"/>
    </row>
    <row r="7" spans="1:9" ht="60">
      <c r="A7" s="48" t="s">
        <v>68</v>
      </c>
      <c r="B7" s="70">
        <v>48.4</v>
      </c>
      <c r="C7" s="50">
        <v>23.68</v>
      </c>
      <c r="D7" s="51" t="s">
        <v>70</v>
      </c>
      <c r="E7" s="49">
        <f t="shared" si="0"/>
        <v>1146.1119999999999</v>
      </c>
      <c r="F7" s="51"/>
      <c r="G7" s="52"/>
    </row>
    <row r="8" spans="1:9" ht="30">
      <c r="A8" s="48" t="s">
        <v>74</v>
      </c>
      <c r="B8" s="70">
        <v>1</v>
      </c>
      <c r="C8" s="50">
        <v>608</v>
      </c>
      <c r="D8" s="51" t="s">
        <v>75</v>
      </c>
      <c r="E8" s="49">
        <f t="shared" si="0"/>
        <v>608</v>
      </c>
      <c r="F8" s="51"/>
      <c r="G8" s="52"/>
    </row>
    <row r="9" spans="1:9" ht="60">
      <c r="A9" s="48" t="s">
        <v>76</v>
      </c>
      <c r="B9" s="70">
        <v>0</v>
      </c>
      <c r="C9" s="50">
        <v>306.14</v>
      </c>
      <c r="D9" s="51" t="s">
        <v>71</v>
      </c>
      <c r="E9" s="49">
        <f t="shared" si="0"/>
        <v>0</v>
      </c>
      <c r="F9" s="51"/>
      <c r="G9" s="52"/>
    </row>
    <row r="10" spans="1:9" ht="19.5" customHeight="1">
      <c r="A10" s="94" t="s">
        <v>72</v>
      </c>
      <c r="B10" s="95"/>
      <c r="C10" s="96"/>
      <c r="D10" s="51" t="s">
        <v>38</v>
      </c>
      <c r="E10" s="49">
        <f>SUM(E4:E9)</f>
        <v>70989.732399999994</v>
      </c>
      <c r="F10" s="51"/>
      <c r="G10" s="52"/>
      <c r="I10" s="53"/>
    </row>
    <row r="11" spans="1:9" ht="19.5" customHeight="1">
      <c r="A11" s="94" t="s">
        <v>77</v>
      </c>
      <c r="B11" s="95"/>
      <c r="C11" s="96"/>
      <c r="D11" s="51" t="s">
        <v>38</v>
      </c>
      <c r="E11" s="49">
        <f>E10*18%</f>
        <v>12778.151831999998</v>
      </c>
      <c r="F11" s="51"/>
      <c r="G11" s="52"/>
      <c r="I11" s="53"/>
    </row>
    <row r="12" spans="1:9" ht="19.5" customHeight="1">
      <c r="A12" s="94" t="s">
        <v>72</v>
      </c>
      <c r="B12" s="95"/>
      <c r="C12" s="96"/>
      <c r="D12" s="51" t="s">
        <v>38</v>
      </c>
      <c r="E12" s="49">
        <f>E10+E11</f>
        <v>83767.884231999997</v>
      </c>
      <c r="F12" s="51"/>
      <c r="G12" s="52"/>
      <c r="I12" s="53"/>
    </row>
    <row r="13" spans="1:9" ht="19.5" customHeight="1">
      <c r="A13" s="94" t="s">
        <v>39</v>
      </c>
      <c r="B13" s="95"/>
      <c r="C13" s="96"/>
      <c r="D13" s="54" t="s">
        <v>38</v>
      </c>
      <c r="E13" s="55">
        <f>ROUNDDOWN(E12,0)</f>
        <v>83767</v>
      </c>
      <c r="F13" s="51"/>
      <c r="G13" s="52"/>
    </row>
    <row r="14" spans="1:9" ht="27.75" customHeight="1">
      <c r="A14" s="130" t="s">
        <v>95</v>
      </c>
      <c r="B14" s="99" t="s">
        <v>96</v>
      </c>
      <c r="C14" s="99"/>
      <c r="D14" s="99"/>
      <c r="E14" s="99"/>
      <c r="F14" s="99"/>
      <c r="G14" s="100"/>
    </row>
    <row r="15" spans="1:9" ht="15" customHeight="1">
      <c r="A15" s="56" t="s">
        <v>63</v>
      </c>
      <c r="B15" s="71" t="s">
        <v>89</v>
      </c>
      <c r="C15" s="57"/>
      <c r="D15" s="57"/>
      <c r="E15" s="57"/>
      <c r="F15" s="57"/>
      <c r="G15" s="58"/>
    </row>
    <row r="16" spans="1:9" ht="19.5" customHeight="1">
      <c r="A16" s="56" t="s">
        <v>60</v>
      </c>
      <c r="B16" s="72">
        <v>520</v>
      </c>
      <c r="C16" s="60" t="s">
        <v>61</v>
      </c>
      <c r="D16" s="72">
        <v>51</v>
      </c>
      <c r="E16" s="59" t="s">
        <v>62</v>
      </c>
      <c r="F16" s="72">
        <v>52</v>
      </c>
      <c r="G16" s="58"/>
    </row>
    <row r="17" spans="1:7" ht="19.5" customHeight="1">
      <c r="A17" s="61"/>
      <c r="B17" s="62"/>
      <c r="C17" s="62"/>
      <c r="D17" s="62"/>
      <c r="E17" s="63"/>
      <c r="F17" s="62"/>
      <c r="G17" s="64"/>
    </row>
    <row r="18" spans="1:7" ht="19.5" customHeight="1">
      <c r="A18" s="61"/>
      <c r="B18" s="97" t="s">
        <v>40</v>
      </c>
      <c r="C18" s="97"/>
      <c r="D18" s="97"/>
      <c r="E18" s="97"/>
      <c r="F18" s="97"/>
      <c r="G18" s="64"/>
    </row>
    <row r="19" spans="1:7" ht="25.5" customHeight="1" thickBot="1">
      <c r="A19" s="65" t="s">
        <v>56</v>
      </c>
      <c r="B19" s="98"/>
      <c r="C19" s="98"/>
      <c r="D19" s="98"/>
      <c r="E19" s="98"/>
      <c r="F19" s="98"/>
      <c r="G19" s="66"/>
    </row>
    <row r="20" spans="1:7" ht="16.2" thickTop="1">
      <c r="A20" s="67"/>
      <c r="B20" s="68"/>
      <c r="C20" s="68"/>
      <c r="D20" s="68"/>
      <c r="E20" s="69"/>
      <c r="F20" s="68"/>
      <c r="G20" s="68"/>
    </row>
    <row r="21" spans="1:7" ht="15.6">
      <c r="A21" s="67"/>
      <c r="B21" s="68"/>
      <c r="C21" s="68"/>
      <c r="D21" s="68"/>
      <c r="E21" s="69"/>
      <c r="F21" s="68"/>
      <c r="G21" s="68"/>
    </row>
    <row r="22" spans="1:7" ht="15.6">
      <c r="A22" s="67"/>
      <c r="B22" s="68"/>
      <c r="C22" s="68"/>
      <c r="D22" s="68"/>
      <c r="E22" s="69"/>
      <c r="F22" s="68"/>
      <c r="G22" s="68"/>
    </row>
    <row r="23" spans="1:7" ht="15.6">
      <c r="A23" s="67"/>
      <c r="B23" s="68"/>
      <c r="C23" s="68"/>
      <c r="D23" s="68"/>
      <c r="E23" s="69"/>
      <c r="F23" s="68"/>
      <c r="G23" s="68"/>
    </row>
    <row r="24" spans="1:7" ht="15.6">
      <c r="A24" s="67"/>
      <c r="B24" s="68"/>
      <c r="C24" s="68"/>
      <c r="D24" s="68"/>
      <c r="E24" s="69"/>
      <c r="F24" s="68"/>
      <c r="G24" s="68"/>
    </row>
    <row r="25" spans="1:7" ht="15.6">
      <c r="A25" s="67"/>
      <c r="B25" s="68"/>
      <c r="C25" s="68"/>
      <c r="D25" s="68"/>
      <c r="E25" s="69"/>
      <c r="F25" s="68"/>
      <c r="G25" s="68"/>
    </row>
    <row r="26" spans="1:7" ht="15.6">
      <c r="A26" s="67"/>
      <c r="B26" s="68"/>
      <c r="C26" s="68"/>
      <c r="D26" s="68"/>
      <c r="E26" s="69"/>
      <c r="F26" s="68"/>
      <c r="G26" s="68"/>
    </row>
    <row r="27" spans="1:7" ht="15.6">
      <c r="A27" s="67"/>
      <c r="B27" s="68"/>
      <c r="C27" s="68"/>
      <c r="D27" s="68"/>
      <c r="E27" s="69"/>
      <c r="F27" s="68"/>
      <c r="G27" s="68"/>
    </row>
    <row r="28" spans="1:7" ht="15.6">
      <c r="A28" s="67"/>
      <c r="B28" s="68"/>
      <c r="C28" s="68"/>
      <c r="D28" s="68"/>
      <c r="E28" s="69"/>
      <c r="F28" s="68"/>
      <c r="G28" s="68"/>
    </row>
    <row r="29" spans="1:7" ht="15.6">
      <c r="A29" s="67"/>
      <c r="B29" s="68"/>
      <c r="C29" s="68"/>
      <c r="D29" s="68"/>
      <c r="E29" s="69"/>
      <c r="F29" s="68"/>
      <c r="G29" s="68"/>
    </row>
    <row r="30" spans="1:7" ht="15.6">
      <c r="A30" s="67"/>
      <c r="B30" s="68"/>
      <c r="C30" s="68"/>
      <c r="D30" s="68"/>
      <c r="E30" s="69"/>
      <c r="F30" s="68"/>
      <c r="G30" s="68"/>
    </row>
    <row r="31" spans="1:7" ht="15.6">
      <c r="A31" s="67"/>
      <c r="B31" s="68"/>
      <c r="C31" s="68"/>
      <c r="D31" s="68"/>
      <c r="E31" s="69"/>
      <c r="F31" s="68"/>
      <c r="G31" s="68"/>
    </row>
    <row r="32" spans="1:7" ht="15.6">
      <c r="A32" s="67"/>
      <c r="B32" s="68"/>
      <c r="C32" s="68"/>
      <c r="D32" s="68"/>
      <c r="E32" s="69"/>
      <c r="F32" s="68"/>
      <c r="G32" s="68"/>
    </row>
    <row r="33" spans="1:7" ht="15.6">
      <c r="A33" s="67"/>
      <c r="B33" s="68"/>
      <c r="C33" s="68"/>
      <c r="D33" s="68"/>
      <c r="E33" s="69"/>
      <c r="F33" s="68"/>
      <c r="G33" s="68"/>
    </row>
    <row r="34" spans="1:7" ht="15.6">
      <c r="A34" s="67"/>
      <c r="B34" s="68"/>
      <c r="C34" s="68"/>
      <c r="D34" s="68"/>
      <c r="E34" s="69"/>
      <c r="F34" s="68"/>
      <c r="G34" s="68"/>
    </row>
    <row r="35" spans="1:7" ht="15.6">
      <c r="A35" s="67"/>
      <c r="B35" s="68"/>
      <c r="C35" s="68"/>
      <c r="D35" s="68"/>
      <c r="E35" s="69"/>
      <c r="F35" s="68"/>
      <c r="G35" s="68"/>
    </row>
    <row r="36" spans="1:7" ht="15.6">
      <c r="A36" s="67"/>
      <c r="B36" s="68"/>
      <c r="C36" s="68"/>
      <c r="D36" s="68"/>
      <c r="E36" s="69"/>
      <c r="F36" s="68"/>
      <c r="G36" s="68"/>
    </row>
    <row r="37" spans="1:7" ht="15.6">
      <c r="A37" s="67"/>
      <c r="B37" s="68"/>
      <c r="C37" s="68"/>
      <c r="D37" s="68"/>
      <c r="E37" s="69"/>
      <c r="F37" s="68"/>
      <c r="G37" s="68"/>
    </row>
    <row r="38" spans="1:7" ht="15.6">
      <c r="A38" s="67"/>
      <c r="B38" s="68"/>
      <c r="C38" s="68"/>
      <c r="D38" s="68"/>
      <c r="E38" s="69"/>
      <c r="F38" s="68"/>
      <c r="G38" s="68"/>
    </row>
    <row r="39" spans="1:7" ht="15.6">
      <c r="A39" s="67"/>
      <c r="B39" s="68"/>
      <c r="C39" s="68"/>
      <c r="D39" s="68"/>
      <c r="E39" s="69"/>
      <c r="F39" s="68"/>
      <c r="G39" s="68"/>
    </row>
    <row r="40" spans="1:7" ht="15.6">
      <c r="A40" s="67"/>
      <c r="B40" s="68"/>
      <c r="C40" s="68"/>
      <c r="D40" s="68"/>
      <c r="E40" s="69"/>
      <c r="F40" s="68"/>
      <c r="G40" s="68"/>
    </row>
    <row r="41" spans="1:7" ht="15.6">
      <c r="A41" s="67"/>
      <c r="B41" s="68"/>
      <c r="C41" s="68"/>
      <c r="D41" s="68"/>
      <c r="E41" s="69"/>
      <c r="F41" s="68"/>
      <c r="G41" s="68"/>
    </row>
    <row r="42" spans="1:7" ht="15.6">
      <c r="A42" s="67"/>
      <c r="B42" s="68"/>
      <c r="C42" s="68"/>
      <c r="D42" s="68"/>
      <c r="E42" s="69"/>
      <c r="F42" s="68"/>
      <c r="G42" s="68"/>
    </row>
    <row r="43" spans="1:7" ht="15.6">
      <c r="A43" s="67"/>
      <c r="B43" s="68"/>
      <c r="C43" s="68"/>
      <c r="D43" s="68"/>
      <c r="E43" s="69"/>
      <c r="F43" s="68"/>
      <c r="G43" s="68"/>
    </row>
    <row r="44" spans="1:7" ht="15.6">
      <c r="A44" s="67"/>
      <c r="B44" s="68"/>
      <c r="C44" s="68"/>
      <c r="D44" s="68"/>
      <c r="E44" s="69"/>
      <c r="F44" s="68"/>
      <c r="G44" s="68"/>
    </row>
    <row r="45" spans="1:7" ht="15.6">
      <c r="A45" s="67"/>
      <c r="B45" s="68"/>
      <c r="C45" s="68"/>
      <c r="D45" s="68"/>
      <c r="E45" s="69"/>
      <c r="F45" s="68"/>
      <c r="G45" s="68"/>
    </row>
    <row r="46" spans="1:7" ht="15.6">
      <c r="A46" s="67"/>
      <c r="B46" s="68"/>
      <c r="C46" s="68"/>
      <c r="D46" s="68"/>
      <c r="E46" s="69"/>
      <c r="F46" s="68"/>
      <c r="G46" s="68"/>
    </row>
    <row r="47" spans="1:7" ht="15.6">
      <c r="A47" s="67"/>
      <c r="B47" s="68"/>
      <c r="C47" s="68"/>
      <c r="D47" s="68"/>
      <c r="E47" s="69"/>
      <c r="F47" s="68"/>
      <c r="G47" s="68"/>
    </row>
  </sheetData>
  <mergeCells count="14">
    <mergeCell ref="A1:G1"/>
    <mergeCell ref="A2:A3"/>
    <mergeCell ref="B2:B3"/>
    <mergeCell ref="C2:C3"/>
    <mergeCell ref="D2:D3"/>
    <mergeCell ref="E2:E3"/>
    <mergeCell ref="F2:F3"/>
    <mergeCell ref="G2:G3"/>
    <mergeCell ref="A11:C11"/>
    <mergeCell ref="A12:C12"/>
    <mergeCell ref="B18:F19"/>
    <mergeCell ref="A10:C10"/>
    <mergeCell ref="A13:C13"/>
    <mergeCell ref="B14:G14"/>
  </mergeCells>
  <pageMargins left="0.65" right="0.43" top="0.61" bottom="0.42" header="0.3" footer="0.3"/>
  <pageSetup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2"/>
  <sheetViews>
    <sheetView view="pageBreakPreview" zoomScale="95" zoomScaleNormal="100" zoomScaleSheetLayoutView="95" workbookViewId="0">
      <selection activeCell="F12" sqref="F12"/>
    </sheetView>
  </sheetViews>
  <sheetFormatPr defaultRowHeight="13.2"/>
  <cols>
    <col min="1" max="1" width="23.88671875" style="1" customWidth="1"/>
    <col min="2" max="2" width="5.88671875" style="1" customWidth="1"/>
    <col min="3" max="3" width="15.88671875" style="1" bestFit="1" customWidth="1"/>
    <col min="4" max="4" width="8.88671875" style="1"/>
    <col min="5" max="5" width="10.44140625" style="1" customWidth="1"/>
    <col min="6" max="6" width="8.88671875" style="1"/>
    <col min="7" max="7" width="9.109375" style="1" customWidth="1"/>
    <col min="8" max="8" width="21.88671875" style="1" customWidth="1"/>
    <col min="9" max="16384" width="8.88671875" style="1"/>
  </cols>
  <sheetData>
    <row r="1" spans="1:17" ht="45" customHeight="1">
      <c r="A1" s="120" t="s">
        <v>41</v>
      </c>
      <c r="B1" s="120"/>
      <c r="C1" s="120"/>
      <c r="D1" s="120"/>
      <c r="E1" s="120"/>
      <c r="F1" s="120"/>
      <c r="G1" s="120"/>
      <c r="H1" s="120"/>
    </row>
    <row r="2" spans="1:17" s="29" customFormat="1" ht="48.75" customHeight="1">
      <c r="A2" s="28" t="s">
        <v>42</v>
      </c>
      <c r="B2" s="28" t="s">
        <v>43</v>
      </c>
      <c r="C2" s="121" t="str">
        <f>'21 No. P.A. Form'!H2</f>
        <v xml:space="preserve">૧૫ મુ નાણાપંચ ગ્રામ્ય કક્ષા વર્ષ ૨૦૨૪-૨૫ બીજો  હપ્તો  </v>
      </c>
      <c r="D2" s="122"/>
      <c r="E2" s="122"/>
      <c r="F2" s="122"/>
      <c r="G2" s="122"/>
      <c r="H2" s="123"/>
    </row>
    <row r="3" spans="1:17" s="29" customFormat="1" ht="57" customHeight="1">
      <c r="A3" s="28" t="s">
        <v>44</v>
      </c>
      <c r="B3" s="28" t="s">
        <v>43</v>
      </c>
      <c r="C3" s="124" t="str">
        <f>'21 No. P.A. Form'!C7:I7</f>
        <v xml:space="preserve">જોરાપુરા તાબે ભગવાનજી ના મુવાડા ઘંટી વાળા ફળિયામાં પેવર બ્લોકનું કામ. </v>
      </c>
      <c r="D3" s="124"/>
      <c r="E3" s="124"/>
      <c r="F3" s="124"/>
      <c r="G3" s="124"/>
      <c r="H3" s="124"/>
    </row>
    <row r="4" spans="1:17" ht="42" customHeight="1">
      <c r="A4" s="30" t="s">
        <v>45</v>
      </c>
      <c r="B4" s="30" t="s">
        <v>43</v>
      </c>
      <c r="C4" s="113" t="s">
        <v>83</v>
      </c>
      <c r="D4" s="113"/>
      <c r="E4" s="113"/>
      <c r="F4" s="113"/>
      <c r="G4" s="113"/>
      <c r="H4" s="113"/>
    </row>
    <row r="5" spans="1:17" ht="33.75" customHeight="1">
      <c r="A5" s="31" t="s">
        <v>46</v>
      </c>
      <c r="B5" s="31" t="s">
        <v>43</v>
      </c>
      <c r="C5" s="126">
        <v>56000</v>
      </c>
      <c r="D5" s="114"/>
      <c r="E5" s="114"/>
      <c r="F5" s="114"/>
      <c r="G5" s="114"/>
      <c r="H5" s="114"/>
    </row>
    <row r="6" spans="1:17" s="14" customFormat="1" ht="42" customHeight="1">
      <c r="A6" s="32" t="s">
        <v>47</v>
      </c>
      <c r="B6" s="31" t="s">
        <v>43</v>
      </c>
      <c r="C6" s="127" t="s">
        <v>81</v>
      </c>
      <c r="D6" s="128"/>
      <c r="E6" s="128"/>
      <c r="F6" s="128"/>
      <c r="G6" s="128"/>
      <c r="H6" s="129"/>
      <c r="I6" s="33"/>
      <c r="L6" s="125"/>
      <c r="M6" s="125"/>
      <c r="N6" s="125"/>
      <c r="O6" s="125"/>
      <c r="P6" s="125"/>
      <c r="Q6" s="125"/>
    </row>
    <row r="7" spans="1:17" ht="34.5" customHeight="1">
      <c r="A7" s="30" t="s">
        <v>48</v>
      </c>
      <c r="B7" s="30" t="s">
        <v>43</v>
      </c>
      <c r="C7" s="110">
        <f>C5</f>
        <v>56000</v>
      </c>
      <c r="D7" s="111"/>
      <c r="E7" s="111"/>
      <c r="F7" s="111"/>
      <c r="G7" s="111"/>
      <c r="H7" s="111"/>
    </row>
    <row r="8" spans="1:17" ht="38.25" customHeight="1">
      <c r="A8" s="30" t="s">
        <v>49</v>
      </c>
      <c r="B8" s="30" t="s">
        <v>43</v>
      </c>
      <c r="C8" s="112" t="str">
        <f>'21 No. P.A. Form'!G8</f>
        <v xml:space="preserve">સરપંચ શ્રી ગ્રામ પંચાયત </v>
      </c>
      <c r="D8" s="112"/>
      <c r="E8" s="112"/>
      <c r="F8" s="117" t="str">
        <f>'21 No. P.A. Form'!J8</f>
        <v>જોરાપુરા</v>
      </c>
      <c r="G8" s="118"/>
      <c r="H8" s="119"/>
    </row>
    <row r="9" spans="1:17" ht="33.75" customHeight="1">
      <c r="A9" s="30" t="s">
        <v>50</v>
      </c>
      <c r="B9" s="30" t="s">
        <v>43</v>
      </c>
      <c r="C9" s="113" t="s">
        <v>78</v>
      </c>
      <c r="D9" s="113"/>
      <c r="E9" s="34"/>
      <c r="F9" s="34"/>
      <c r="G9" s="34"/>
      <c r="H9" s="30"/>
    </row>
    <row r="10" spans="1:17" ht="32.25" customHeight="1">
      <c r="A10" s="30" t="s">
        <v>51</v>
      </c>
      <c r="B10" s="30" t="s">
        <v>43</v>
      </c>
      <c r="C10" s="114" t="str">
        <f>Bill!B15</f>
        <v>23-09-2026.</v>
      </c>
      <c r="D10" s="114"/>
      <c r="E10" s="34"/>
      <c r="F10" s="34"/>
      <c r="G10" s="34"/>
      <c r="H10" s="30"/>
    </row>
    <row r="11" spans="1:17" ht="39.75" customHeight="1">
      <c r="A11" s="35" t="s">
        <v>52</v>
      </c>
      <c r="B11" s="30" t="s">
        <v>43</v>
      </c>
      <c r="C11" s="115">
        <f>Bill!E13</f>
        <v>83767</v>
      </c>
      <c r="D11" s="111"/>
      <c r="E11" s="34"/>
      <c r="F11" s="34"/>
      <c r="G11" s="34"/>
      <c r="H11" s="30"/>
    </row>
    <row r="12" spans="1:17" ht="31.2">
      <c r="A12" s="35" t="s">
        <v>53</v>
      </c>
      <c r="B12" s="30" t="s">
        <v>43</v>
      </c>
      <c r="C12" s="36" t="str">
        <f>Bill!A16</f>
        <v>MB NO -</v>
      </c>
      <c r="D12" s="37">
        <f>Bill!B16</f>
        <v>520</v>
      </c>
      <c r="E12" s="36" t="str">
        <f>Bill!C16</f>
        <v>PAGE NO</v>
      </c>
      <c r="F12" s="38">
        <f>Bill!D16</f>
        <v>51</v>
      </c>
      <c r="G12" s="36" t="str">
        <f>Bill!E16</f>
        <v xml:space="preserve">TO </v>
      </c>
      <c r="H12" s="39">
        <f>Bill!F16</f>
        <v>52</v>
      </c>
    </row>
    <row r="13" spans="1:17" ht="29.25" customHeight="1">
      <c r="A13" s="40" t="s">
        <v>54</v>
      </c>
      <c r="B13" s="30" t="s">
        <v>43</v>
      </c>
      <c r="C13" s="116" t="s">
        <v>73</v>
      </c>
      <c r="D13" s="116"/>
      <c r="E13" s="116"/>
      <c r="F13" s="116"/>
      <c r="G13" s="116"/>
      <c r="H13" s="41"/>
    </row>
    <row r="14" spans="1:17" ht="15.6">
      <c r="A14" s="15"/>
      <c r="B14" s="16"/>
      <c r="C14" s="16"/>
      <c r="D14" s="16"/>
      <c r="E14" s="16"/>
      <c r="F14" s="16"/>
      <c r="G14" s="16"/>
      <c r="H14" s="18"/>
    </row>
    <row r="15" spans="1:17" ht="15.6">
      <c r="A15" s="15"/>
      <c r="B15" s="16"/>
      <c r="C15" s="16"/>
      <c r="D15" s="16"/>
      <c r="E15" s="16"/>
      <c r="F15" s="16"/>
      <c r="G15" s="16"/>
      <c r="H15" s="18"/>
    </row>
    <row r="16" spans="1:17" ht="15.6">
      <c r="A16" s="15"/>
      <c r="B16" s="16"/>
      <c r="C16" s="16"/>
      <c r="D16" s="16"/>
      <c r="E16" s="16"/>
      <c r="F16" s="16"/>
      <c r="G16" s="16"/>
      <c r="H16" s="18"/>
    </row>
    <row r="17" spans="1:8" ht="15.6">
      <c r="A17" s="15"/>
      <c r="B17" s="16"/>
      <c r="C17" s="16"/>
      <c r="D17" s="16"/>
      <c r="E17" s="16"/>
      <c r="F17" s="16"/>
      <c r="G17" s="16"/>
      <c r="H17" s="18"/>
    </row>
    <row r="18" spans="1:8" ht="15.6">
      <c r="A18" s="109" t="s">
        <v>57</v>
      </c>
      <c r="B18" s="91"/>
      <c r="C18" s="16"/>
      <c r="D18" s="42"/>
      <c r="E18" s="42"/>
      <c r="F18" s="16"/>
      <c r="G18" s="16"/>
      <c r="H18" s="18"/>
    </row>
    <row r="19" spans="1:8" ht="15.6">
      <c r="A19" s="109" t="s">
        <v>0</v>
      </c>
      <c r="B19" s="91"/>
      <c r="C19" s="16"/>
      <c r="D19" s="42"/>
      <c r="E19" s="42"/>
      <c r="F19" s="16"/>
      <c r="G19" s="16"/>
      <c r="H19" s="18"/>
    </row>
    <row r="20" spans="1:8" ht="15.6">
      <c r="A20" s="109" t="s">
        <v>59</v>
      </c>
      <c r="B20" s="91"/>
      <c r="C20" s="16"/>
      <c r="D20" s="42"/>
      <c r="E20" s="42"/>
      <c r="F20" s="16"/>
      <c r="G20" s="16"/>
      <c r="H20" s="18"/>
    </row>
    <row r="21" spans="1:8" ht="16.2" thickBot="1">
      <c r="A21" s="43"/>
      <c r="B21" s="44"/>
      <c r="C21" s="44"/>
      <c r="D21" s="44"/>
      <c r="E21" s="44"/>
      <c r="F21" s="44"/>
      <c r="G21" s="44"/>
      <c r="H21" s="45"/>
    </row>
    <row r="22" spans="1:8" ht="15.6">
      <c r="A22" s="46"/>
      <c r="B22" s="46"/>
      <c r="C22" s="46"/>
      <c r="D22" s="46"/>
      <c r="E22" s="46"/>
      <c r="F22" s="46"/>
      <c r="G22" s="46"/>
      <c r="H22" s="46"/>
    </row>
  </sheetData>
  <mergeCells count="17">
    <mergeCell ref="A1:H1"/>
    <mergeCell ref="C2:H2"/>
    <mergeCell ref="C3:H3"/>
    <mergeCell ref="L6:Q6"/>
    <mergeCell ref="C4:H4"/>
    <mergeCell ref="C5:H5"/>
    <mergeCell ref="C6:H6"/>
    <mergeCell ref="A19:B19"/>
    <mergeCell ref="C7:H7"/>
    <mergeCell ref="C8:E8"/>
    <mergeCell ref="A20:B20"/>
    <mergeCell ref="C9:D9"/>
    <mergeCell ref="C10:D10"/>
    <mergeCell ref="C11:D11"/>
    <mergeCell ref="C13:G13"/>
    <mergeCell ref="A18:B18"/>
    <mergeCell ref="F8:H8"/>
  </mergeCells>
  <pageMargins left="0.54" right="0.43" top="0.75" bottom="0.25" header="0.3" footer="0.3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21 No. P.A. Form</vt:lpstr>
      <vt:lpstr>Bill</vt:lpstr>
      <vt:lpstr>COMP-14MU NAN</vt:lpstr>
      <vt:lpstr>'21 No. P.A. Form'!Print_Area</vt:lpstr>
      <vt:lpstr>Bill!Print_Area</vt:lpstr>
      <vt:lpstr>'COMP-14MU NAN'!Print_Area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Admin</cp:lastModifiedBy>
  <cp:lastPrinted>2026-02-15T18:05:46Z</cp:lastPrinted>
  <dcterms:created xsi:type="dcterms:W3CDTF">1996-10-14T23:33:28Z</dcterms:created>
  <dcterms:modified xsi:type="dcterms:W3CDTF">2026-09-23T18:08:35Z</dcterms:modified>
</cp:coreProperties>
</file>