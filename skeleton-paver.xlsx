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rok-mvp\2.pevar block\"/>
    </mc:Choice>
  </mc:AlternateContent>
  <bookViews>
    <workbookView xWindow="48" yWindow="32760" windowWidth="9552" windowHeight="6936" activeTab="1"/>
  </bookViews>
  <sheets>
    <sheet name="Estimate" sheetId="30" r:id="rId1"/>
    <sheet name="Abstract" sheetId="9" r:id="rId2"/>
    <sheet name="Measurement" sheetId="42" r:id="rId3"/>
    <sheet name="Lead" sheetId="33" r:id="rId4"/>
  </sheets>
  <externalReferences>
    <externalReference r:id="rId5"/>
  </externalReferences>
  <definedNames>
    <definedName name="_nmw1">[1]lead!$B$2</definedName>
    <definedName name="_xlnm.Print_Area" localSheetId="1">Abstract!$A$1:$G$29</definedName>
    <definedName name="_xlnm.Print_Area" localSheetId="0">Estimate!$A$1:$I$40</definedName>
    <definedName name="_xlnm.Print_Area" localSheetId="3">Lead!$A$1:$I$54</definedName>
    <definedName name="_xlnm.Print_Area" localSheetId="2">Measurement!$A$1:$L$33</definedName>
    <definedName name="_xlnm.Print_Titles" localSheetId="1">Abstract!$3:$3</definedName>
  </definedNames>
  <calcPr calcId="152511"/>
</workbook>
</file>

<file path=xl/calcChain.xml><?xml version="1.0" encoding="utf-8"?>
<calcChain xmlns="http://schemas.openxmlformats.org/spreadsheetml/2006/main">
  <c r="D7" i="33" l="1"/>
  <c r="A6" i="33"/>
  <c r="C5" i="33"/>
  <c r="G54" i="33" l="1"/>
  <c r="A28" i="9"/>
  <c r="G40" i="30"/>
  <c r="D29" i="30"/>
  <c r="H18" i="30"/>
  <c r="D4" i="9" l="1"/>
  <c r="D5" i="9" s="1"/>
  <c r="P5" i="9"/>
  <c r="Q5" i="9"/>
  <c r="Q6" i="9" s="1"/>
  <c r="P4" i="9"/>
  <c r="Q4" i="9"/>
  <c r="F25" i="9"/>
  <c r="O1" i="42" s="1"/>
  <c r="A26" i="42"/>
  <c r="G40" i="33"/>
  <c r="G39" i="33"/>
  <c r="G38" i="33"/>
  <c r="G37" i="33"/>
  <c r="G36" i="33"/>
  <c r="G35" i="33"/>
  <c r="G34" i="33"/>
  <c r="G33" i="33"/>
  <c r="G32" i="33"/>
  <c r="G31" i="33"/>
  <c r="G41" i="33" s="1"/>
  <c r="D18" i="9" s="1"/>
  <c r="D19" i="9" s="1"/>
  <c r="F18" i="9" s="1"/>
  <c r="E18" i="9"/>
  <c r="J7" i="9"/>
  <c r="L7" i="9"/>
  <c r="J12" i="9"/>
  <c r="L12" i="9"/>
  <c r="A2" i="9"/>
  <c r="A2" i="42" s="1"/>
  <c r="C20" i="33"/>
  <c r="H20" i="33"/>
  <c r="I20" i="33"/>
  <c r="D6" i="9"/>
  <c r="D7" i="9" s="1"/>
  <c r="P19" i="42"/>
  <c r="E23" i="42"/>
  <c r="K23" i="42"/>
  <c r="E22" i="42"/>
  <c r="K22" i="42"/>
  <c r="K24" i="42" s="1"/>
  <c r="I3" i="42"/>
  <c r="K19" i="42" s="1"/>
  <c r="G6" i="42"/>
  <c r="K6" i="42" s="1"/>
  <c r="K7" i="42" s="1"/>
  <c r="C29" i="30"/>
  <c r="D2" i="42"/>
  <c r="A32" i="42"/>
  <c r="A21" i="42"/>
  <c r="A18" i="42"/>
  <c r="A15" i="42"/>
  <c r="A12" i="42"/>
  <c r="A9" i="42"/>
  <c r="A5" i="42"/>
  <c r="A28" i="42"/>
  <c r="D17" i="9"/>
  <c r="F16" i="9"/>
  <c r="E16" i="9"/>
  <c r="E14" i="9"/>
  <c r="L22" i="42" s="1"/>
  <c r="D15" i="9"/>
  <c r="E20" i="9"/>
  <c r="D21" i="9"/>
  <c r="F20" i="9"/>
  <c r="D11" i="9"/>
  <c r="F10" i="9"/>
  <c r="D9" i="9"/>
  <c r="F8" i="9"/>
  <c r="E16" i="42"/>
  <c r="K16" i="42"/>
  <c r="D13" i="9"/>
  <c r="E10" i="9"/>
  <c r="E8" i="9"/>
  <c r="E6" i="9"/>
  <c r="B4" i="9"/>
  <c r="E4" i="9"/>
  <c r="C2" i="9"/>
  <c r="B1" i="33" s="1"/>
  <c r="G16" i="42"/>
  <c r="G10" i="42"/>
  <c r="K10" i="42" s="1"/>
  <c r="D8" i="33" l="1"/>
  <c r="A1" i="33"/>
  <c r="A14" i="9"/>
  <c r="F14" i="9" s="1"/>
  <c r="N24" i="42"/>
  <c r="J6" i="9" s="1"/>
  <c r="L6" i="9" s="1"/>
  <c r="F6" i="9"/>
  <c r="L24" i="42"/>
  <c r="L23" i="42"/>
  <c r="K13" i="42"/>
  <c r="K11" i="42"/>
  <c r="A6" i="9"/>
  <c r="A4" i="9"/>
  <c r="J4" i="9" s="1"/>
  <c r="L4" i="9" s="1"/>
  <c r="K30" i="42"/>
  <c r="A12" i="9"/>
  <c r="J5" i="9" s="1"/>
  <c r="L5" i="9" s="1"/>
  <c r="K20" i="42"/>
  <c r="M20" i="42" s="1"/>
  <c r="N20" i="42" s="1"/>
  <c r="E20" i="42" s="1"/>
  <c r="C19" i="33"/>
  <c r="F19" i="33" s="1"/>
  <c r="H19" i="33" s="1"/>
  <c r="I19" i="33" s="1"/>
  <c r="L13" i="9" l="1"/>
  <c r="L15" i="9" s="1"/>
  <c r="L21" i="9" s="1"/>
  <c r="F4" i="9"/>
  <c r="F12" i="9"/>
  <c r="F22" i="9" l="1"/>
  <c r="F24" i="9" l="1"/>
  <c r="O2" i="42" s="1"/>
  <c r="O3" i="42" s="1"/>
  <c r="F23" i="9"/>
</calcChain>
</file>

<file path=xl/sharedStrings.xml><?xml version="1.0" encoding="utf-8"?>
<sst xmlns="http://schemas.openxmlformats.org/spreadsheetml/2006/main" count="203" uniqueCount="137">
  <si>
    <t xml:space="preserve">Estimate checked by:  </t>
  </si>
  <si>
    <t>QTY.</t>
  </si>
  <si>
    <t>ITEM</t>
  </si>
  <si>
    <t>PER</t>
  </si>
  <si>
    <t>AMOUNT</t>
  </si>
  <si>
    <t>1. Division</t>
  </si>
  <si>
    <t>2. Sub-Division</t>
  </si>
  <si>
    <t>3. Sanctioned Estimate No:</t>
  </si>
  <si>
    <t>4. Fund Head:</t>
  </si>
  <si>
    <t>5. Major Head:</t>
  </si>
  <si>
    <t>6. Minor Head:</t>
  </si>
  <si>
    <t>7. Serviceable Head:</t>
  </si>
  <si>
    <t>8. Departmental Head:</t>
  </si>
  <si>
    <t xml:space="preserve"> Amounting to Rs.</t>
  </si>
  <si>
    <t xml:space="preserve">Administrative approval No.:   </t>
  </si>
  <si>
    <t xml:space="preserve"> Date :</t>
  </si>
  <si>
    <t>&amp; Technically sanctioned under No.:</t>
  </si>
  <si>
    <t xml:space="preserve"> Date:</t>
  </si>
  <si>
    <t>Call or Authority:</t>
  </si>
  <si>
    <t>LEAD CHART</t>
  </si>
  <si>
    <t>KM</t>
  </si>
  <si>
    <t>The Lead is Consider to be minimum and shortest motorable route</t>
  </si>
  <si>
    <t>Amount</t>
  </si>
  <si>
    <t>Say</t>
  </si>
  <si>
    <t>Lead</t>
  </si>
  <si>
    <t>Total</t>
  </si>
  <si>
    <t>Estimate prepared by</t>
  </si>
  <si>
    <t>:</t>
  </si>
  <si>
    <t>Sr No.</t>
  </si>
  <si>
    <t xml:space="preserve">Item </t>
  </si>
  <si>
    <t>Basic Rate</t>
  </si>
  <si>
    <t>Remaining Lead</t>
  </si>
  <si>
    <t>Say  Rs.</t>
  </si>
  <si>
    <t>(B) Soft Murum</t>
  </si>
  <si>
    <t xml:space="preserve">        Local</t>
  </si>
  <si>
    <t>Upto 5.0 KM</t>
  </si>
  <si>
    <t>x</t>
  </si>
  <si>
    <t>Length =</t>
  </si>
  <si>
    <t>Width =</t>
  </si>
  <si>
    <t>Rmt</t>
  </si>
  <si>
    <t>Total Qty. =</t>
  </si>
  <si>
    <t>Cum</t>
  </si>
  <si>
    <t>Qty =</t>
  </si>
  <si>
    <t>Area covered =</t>
  </si>
  <si>
    <t>Smt</t>
  </si>
  <si>
    <t>UNIT</t>
  </si>
  <si>
    <t>No</t>
  </si>
  <si>
    <t>For remaining lead Total lead  above 5 to  10</t>
  </si>
  <si>
    <t>For remaining lead  Total lead above 10  up to 15</t>
  </si>
  <si>
    <t>For remaining lead  Total lead above 15  up to 25</t>
  </si>
  <si>
    <t>For remaining lead  Total lead above 25  up to 50</t>
  </si>
  <si>
    <t>For remaining lead  Total lead above 50 up to 100</t>
  </si>
  <si>
    <t xml:space="preserve"> RATE INCL.1% LABOUR CESS</t>
  </si>
  <si>
    <t xml:space="preserve">RATE   ANALYSIS   OF   MATERIALS  </t>
  </si>
  <si>
    <t>(A)     For  B.T. Metal</t>
  </si>
  <si>
    <t>R &amp; B (P) DIVISION KDP NADIAD</t>
  </si>
  <si>
    <t xml:space="preserve">MEASUREMENT  SHEET </t>
  </si>
  <si>
    <t xml:space="preserve">B.T.Metal 6 to 10 mm  (SOR Page1:4)  (vi)       </t>
  </si>
  <si>
    <t>Stone Dust</t>
  </si>
  <si>
    <t>R &amp; B (P) SUB DIVI  DAKOR/ DEE ATVT PRANT OFFICE THASRA</t>
  </si>
  <si>
    <t xml:space="preserve">આ કામ p5ZMST IMHGF હેઠળ મંજુર થયેલ છેઆ કામના નકશા-અંદાજમાં સ્થળ સ્થિતિ મુજબ બોક્સ કટીંગ,  સોફ્ટ મુરમ, સ્પ્રેડીંગ , રોલીંગ, ૬૦મીમી બ્લોક તથા તક્તીની આઇટમનો સમાવેશ  કરેલ છે. આ કામના નકશા-અંદાજ માં આર એન્ડ બી વિભાગના વર્ષ ૨૦15-16ના એસઓઆર મુજબના ભાવો લીધેલ છે. </t>
  </si>
  <si>
    <t>ABSTRACT SHEET</t>
  </si>
  <si>
    <t>R &amp; B SOR 21-22 Item No.26.23 Item Code.26020A</t>
  </si>
  <si>
    <t>R &amp; B SOR 21-22 Item No.26.76 Item Code.26021</t>
  </si>
  <si>
    <t>R.A.</t>
  </si>
  <si>
    <t>Item No :- 3  Spreading blindage or road crust filling the  gaps in metal and levelling to gradient  and camber as directed (i) Murrum</t>
  </si>
  <si>
    <t>Item No :- 2 Collecting, carting and stacking soft murum/binding material at site of work including filling the boxes etc comp.</t>
  </si>
  <si>
    <t xml:space="preserve">Item No :- 4 Rolling and consolidation water bound macadam (Except laterite and kankar) including watering not excceding 150 mm thickness ( main layer including binding  matenals) including filling in  depressions which occurs during the process (B) With power roller excceding 8 tonne and not excecding 12 tonne. </t>
  </si>
  <si>
    <t>=</t>
  </si>
  <si>
    <t>Item No:-7   Conveyance charges for disposal of earth  as and where directed with in 1 KM from the end of cutting with all required lead and lift.</t>
  </si>
  <si>
    <t>R &amp; B SOR 21-22 STATEMENT-5 Item No.3.2.1A (2)</t>
  </si>
  <si>
    <t xml:space="preserve">Qty same as Item No.:-1 </t>
  </si>
  <si>
    <t xml:space="preserve">Qty. collected same as Item No. :- 2 </t>
  </si>
  <si>
    <t>Cmt</t>
  </si>
  <si>
    <t xml:space="preserve">  6 to 10 mm</t>
  </si>
  <si>
    <t>Stone Dust (SOR   Page1 item-p1,15)</t>
  </si>
  <si>
    <t>Item No :- 3 Providing and fixing pre-cast Rubber Dye / steel Dye inter lockingconcrete block 60mm thick with grade of concrete M300pnumatic compressed / vibrated mechanically and as perapproved design Confirming to IS 15658 : 2006 including 35 mmSand layer for levelling and filling the joint with sand in properline and level as per guidlines of IRC : SP 63-2018 etc. Complete.</t>
  </si>
  <si>
    <t>Item No :- 4 Providing cement vata (10cm. x 10 cm. size) quarter round incement mortar 1:1 including neat cement finishing, watering etc.complete.</t>
  </si>
  <si>
    <t>A.A.E.</t>
  </si>
  <si>
    <t>TOTAL=</t>
  </si>
  <si>
    <t>SMT</t>
  </si>
  <si>
    <t>QTY</t>
  </si>
  <si>
    <t>TALUKA PANCHAYAT</t>
  </si>
  <si>
    <t>THASRA</t>
  </si>
  <si>
    <t>SQ FEET</t>
  </si>
  <si>
    <t>BRASS</t>
  </si>
  <si>
    <t xml:space="preserve">SR. NO. </t>
  </si>
  <si>
    <t>ADD. ASST. ENGINEER</t>
  </si>
  <si>
    <t xml:space="preserve">સામાન્ય વર્ણન </t>
  </si>
  <si>
    <t xml:space="preserve">કામ નું નામ :- </t>
  </si>
  <si>
    <t>Item No.14033</t>
  </si>
  <si>
    <t xml:space="preserve"> Item No.0 Item Code.17015</t>
  </si>
  <si>
    <t xml:space="preserve"> Item No.0 Item Code.26087</t>
  </si>
  <si>
    <t>Item No:- 6 Providing and fixing Number plate of Marble plate stone of required size set in C.M. 1:4 including finishing and engraving letters etc. completes.</t>
  </si>
  <si>
    <t>Item No :- 5 Testing charges for Kapchi,Metal,Sand,Cement,C.C. Cube as per schedule of testing</t>
  </si>
  <si>
    <t>AS PER SCHEDULE OF TESTING</t>
  </si>
  <si>
    <t>Job</t>
  </si>
  <si>
    <t>SCHUDEL OF TESTING</t>
  </si>
  <si>
    <t>Sr. No</t>
  </si>
  <si>
    <t>Item</t>
  </si>
  <si>
    <t>No of testing required</t>
  </si>
  <si>
    <t>Approved Rate</t>
  </si>
  <si>
    <t>Bricks</t>
  </si>
  <si>
    <t>Sand</t>
  </si>
  <si>
    <t>Cement</t>
  </si>
  <si>
    <t>Cube</t>
  </si>
  <si>
    <t>B.T.Kapchi</t>
  </si>
  <si>
    <t>Metal</t>
  </si>
  <si>
    <t>Paving Blocks</t>
  </si>
  <si>
    <t>Steel</t>
  </si>
  <si>
    <t>Pipe Line</t>
  </si>
  <si>
    <t xml:space="preserve">Gutter Pipe </t>
  </si>
  <si>
    <t xml:space="preserve">આ કામ ઉપરોક્ત યોજના હેઠળ મંજૂર થયેલ છે. આ  કામના નકશા-અંદાજમાં સ્થળ સ્થિતિ મુજબ બોક્સ કટિંગ,સોફ્ટ મુરમ ,સ્પ્રેડીંગ, રોલિંગ, ૬૦ મીમી બ્લોક તથા તકતીની આઈટમનો સમાવેશ કરેલ છે. યઅ કામના નકશા -અંદાજમાં મા અને મકાન વિભાગના ચાલુ વર્ષના એસ. ઓ. આર. મુજબના ભાવ લીધેલ છે. </t>
  </si>
  <si>
    <t>Add 18% GST</t>
  </si>
  <si>
    <t>SS</t>
  </si>
  <si>
    <t>ABSTRACT</t>
  </si>
  <si>
    <t>SITE PLAN</t>
  </si>
  <si>
    <t>Item No :- :- 1 Box cutting the road surface to proper slope and camber for making a base for road work including removing the excavated stuff and depositing on the road side slope as directed upto 50Mt.lead.</t>
  </si>
  <si>
    <t>Page no.25 Item Code.26B008 + Page no.66 Item Code. 04005C= 103.17+51.84</t>
  </si>
  <si>
    <t>૧૫ % વિવેકાધીન વર્ષ ૨૦૨૬-૨૭.</t>
  </si>
  <si>
    <t>જા.નંબર/વશી-                       તા.       /૦૩/૨૦૨૬.</t>
  </si>
  <si>
    <t xml:space="preserve">ગોળજ તાબે ચોથીયાની મુવાડી મહેશભાઈ બાલાભાઈના ફળિયામાં પેવર બ્લોકનું કામ. </t>
  </si>
  <si>
    <t>ESTIMATE</t>
  </si>
  <si>
    <t>R &amp; B (P) DIV.</t>
  </si>
  <si>
    <t>KHEDA</t>
  </si>
  <si>
    <t>JILLA PANCHAYAT</t>
  </si>
  <si>
    <t>R &amp; B (P) SUB DIV.</t>
  </si>
  <si>
    <t>DAKOR</t>
  </si>
  <si>
    <t xml:space="preserve">DEE ATVT PRANT </t>
  </si>
  <si>
    <t>NANI SINCHAI (P) SUB DIV</t>
  </si>
  <si>
    <t xml:space="preserve">Estimated framed in the office of the Taluka Development Officer, Taluka Panchyat,  </t>
  </si>
  <si>
    <t>for the expenses that will be incurred in the Work Of</t>
  </si>
  <si>
    <t>Shree V.A.Thakor. A.A.E.</t>
  </si>
  <si>
    <t>Taluka Panchayat</t>
  </si>
  <si>
    <t>to</t>
  </si>
  <si>
    <t>site of work</t>
  </si>
  <si>
    <t>Sevaliya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</si>
</sst>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00"/>
    <numFmt numFmtId="166" formatCode="_(* #,##0_);_(* \(#,##0\);_(* &quot;-&quot;??_);_(@_)"/>
    <numFmt numFmtId="167" formatCode="[$-7000447]0"/>
  </numFmts>
  <fonts count="40">
    <font>
      <sz val="10"/>
      <name val="Arial"/>
    </font>
    <font>
      <sz val="10"/>
      <name val="Arial"/>
    </font>
    <font>
      <sz val="10"/>
      <name val="Times New Roman"/>
      <family val="1"/>
    </font>
    <font>
      <sz val="10"/>
      <color indexed="12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LMG-Arun"/>
    </font>
    <font>
      <sz val="14"/>
      <name val="Gujrati Saral-1"/>
    </font>
    <font>
      <sz val="12"/>
      <name val="Times New Roman"/>
      <family val="1"/>
    </font>
    <font>
      <b/>
      <sz val="10"/>
      <name val="Verdana"/>
      <family val="2"/>
    </font>
    <font>
      <sz val="9"/>
      <color indexed="8"/>
      <name val="Arial"/>
      <family val="2"/>
    </font>
    <font>
      <sz val="14"/>
      <name val="Cambria"/>
      <family val="1"/>
      <scheme val="major"/>
    </font>
    <font>
      <sz val="10"/>
      <color theme="8"/>
      <name val="Arial"/>
      <family val="2"/>
    </font>
    <font>
      <sz val="14"/>
      <color theme="8"/>
      <name val="Arial Unicode MS"/>
      <family val="2"/>
    </font>
    <font>
      <b/>
      <sz val="12"/>
      <color theme="8"/>
      <name val="Arial"/>
      <family val="2"/>
    </font>
    <font>
      <sz val="14"/>
      <color theme="8"/>
      <name val="Arial"/>
      <family val="2"/>
    </font>
    <font>
      <b/>
      <u/>
      <sz val="16"/>
      <color theme="9"/>
      <name val="Arial"/>
      <family val="2"/>
    </font>
    <font>
      <sz val="12"/>
      <color theme="9"/>
      <name val="Arial"/>
      <family val="2"/>
    </font>
    <font>
      <sz val="10"/>
      <color theme="9"/>
      <name val="Arial"/>
      <family val="2"/>
    </font>
    <font>
      <b/>
      <sz val="12"/>
      <color theme="9"/>
      <name val="Arial"/>
      <family val="2"/>
    </font>
    <font>
      <sz val="14"/>
      <color theme="9"/>
      <name val="Arial"/>
      <family val="2"/>
    </font>
    <font>
      <sz val="14"/>
      <color theme="9"/>
      <name val="LMG-Arun"/>
    </font>
    <font>
      <sz val="14"/>
      <color theme="9"/>
      <name val="Arial Unicode MS"/>
      <family val="2"/>
    </font>
    <font>
      <b/>
      <sz val="16"/>
      <color theme="9"/>
      <name val="Times New Roman"/>
      <family val="1"/>
    </font>
    <font>
      <sz val="12"/>
      <color theme="9"/>
      <name val="Times New Roman"/>
      <family val="1"/>
    </font>
    <font>
      <b/>
      <sz val="11"/>
      <color theme="9"/>
      <name val="Arial"/>
      <family val="2"/>
    </font>
    <font>
      <b/>
      <sz val="10"/>
      <color theme="9"/>
      <name val="Times New Roman"/>
      <family val="1"/>
    </font>
    <font>
      <sz val="10"/>
      <color theme="9"/>
      <name val="Times New Roman"/>
      <family val="1"/>
    </font>
    <font>
      <sz val="11"/>
      <color theme="9"/>
      <name val="Arial"/>
      <family val="2"/>
    </font>
    <font>
      <sz val="11"/>
      <color theme="9"/>
      <name val="Times New Roman"/>
      <family val="1"/>
    </font>
    <font>
      <b/>
      <sz val="11"/>
      <color theme="9"/>
      <name val="Times New Roman"/>
      <family val="1"/>
    </font>
    <font>
      <b/>
      <sz val="14"/>
      <color theme="9"/>
      <name val="Times New Roman"/>
      <family val="1"/>
    </font>
    <font>
      <sz val="12"/>
      <color theme="8"/>
      <name val="Arial"/>
      <family val="2"/>
    </font>
    <font>
      <b/>
      <sz val="14"/>
      <color theme="8"/>
      <name val="Arial"/>
      <family val="2"/>
    </font>
    <font>
      <u/>
      <sz val="12"/>
      <color theme="9"/>
      <name val="Arial"/>
      <family val="2"/>
    </font>
    <font>
      <sz val="12"/>
      <color theme="8"/>
      <name val="Times New Roman"/>
      <family val="1"/>
    </font>
    <font>
      <b/>
      <sz val="10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2" fillId="0" borderId="0"/>
  </cellStyleXfs>
  <cellXfs count="280">
    <xf numFmtId="0" fontId="0" fillId="0" borderId="0" xfId="0"/>
    <xf numFmtId="0" fontId="3" fillId="0" borderId="0" xfId="0" applyFont="1" applyProtection="1"/>
    <xf numFmtId="0" fontId="14" fillId="0" borderId="0" xfId="0" applyFont="1" applyBorder="1" applyAlignment="1" applyProtection="1">
      <alignment vertical="center"/>
    </xf>
    <xf numFmtId="0" fontId="11" fillId="0" borderId="0" xfId="0" applyFont="1" applyProtection="1"/>
    <xf numFmtId="0" fontId="10" fillId="0" borderId="0" xfId="0" applyFont="1" applyBorder="1" applyAlignment="1" applyProtection="1">
      <alignment horizontal="right" vertical="center"/>
    </xf>
    <xf numFmtId="0" fontId="3" fillId="0" borderId="0" xfId="0" applyFont="1" applyAlignment="1" applyProtection="1">
      <alignment vertical="top" wrapText="1"/>
    </xf>
    <xf numFmtId="0" fontId="9" fillId="0" borderId="0" xfId="0" applyFont="1" applyBorder="1" applyAlignment="1" applyProtection="1">
      <alignment vertical="center"/>
    </xf>
    <xf numFmtId="0" fontId="6" fillId="0" borderId="0" xfId="0" applyFont="1" applyAlignment="1" applyProtection="1">
      <alignment wrapText="1"/>
    </xf>
    <xf numFmtId="0" fontId="5" fillId="0" borderId="0" xfId="0" applyFont="1" applyProtection="1"/>
    <xf numFmtId="0" fontId="15" fillId="0" borderId="0" xfId="0" applyFont="1" applyProtection="1">
      <protection locked="0"/>
    </xf>
    <xf numFmtId="167" fontId="16" fillId="0" borderId="0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Protection="1"/>
    <xf numFmtId="0" fontId="20" fillId="0" borderId="5" xfId="0" applyFont="1" applyBorder="1" applyAlignment="1" applyProtection="1">
      <alignment horizontal="left" indent="1"/>
    </xf>
    <xf numFmtId="0" fontId="20" fillId="0" borderId="0" xfId="0" applyFont="1" applyBorder="1" applyAlignment="1" applyProtection="1">
      <alignment horizontal="left"/>
    </xf>
    <xf numFmtId="0" fontId="20" fillId="0" borderId="0" xfId="0" applyFont="1" applyBorder="1" applyAlignment="1" applyProtection="1">
      <alignment horizontal="left" indent="1"/>
    </xf>
    <xf numFmtId="0" fontId="20" fillId="0" borderId="0" xfId="0" applyFont="1" applyBorder="1" applyProtection="1"/>
    <xf numFmtId="0" fontId="20" fillId="0" borderId="1" xfId="0" applyFont="1" applyBorder="1" applyProtection="1"/>
    <xf numFmtId="0" fontId="22" fillId="0" borderId="1" xfId="0" applyFont="1" applyBorder="1" applyAlignment="1" applyProtection="1"/>
    <xf numFmtId="0" fontId="20" fillId="0" borderId="5" xfId="0" applyFont="1" applyBorder="1" applyProtection="1"/>
    <xf numFmtId="0" fontId="20" fillId="0" borderId="0" xfId="0" applyFont="1" applyBorder="1" applyAlignment="1" applyProtection="1"/>
    <xf numFmtId="0" fontId="23" fillId="0" borderId="0" xfId="0" applyFont="1" applyBorder="1" applyProtection="1">
      <protection locked="0"/>
    </xf>
    <xf numFmtId="0" fontId="23" fillId="0" borderId="1" xfId="0" applyFont="1" applyBorder="1" applyProtection="1">
      <protection locked="0"/>
    </xf>
    <xf numFmtId="0" fontId="25" fillId="0" borderId="5" xfId="0" applyFont="1" applyBorder="1" applyAlignment="1" applyProtection="1">
      <alignment horizontal="center" vertical="center" wrapText="1"/>
    </xf>
    <xf numFmtId="0" fontId="21" fillId="0" borderId="5" xfId="0" applyFont="1" applyBorder="1" applyProtection="1"/>
    <xf numFmtId="0" fontId="21" fillId="0" borderId="0" xfId="0" applyFont="1" applyBorder="1" applyProtection="1"/>
    <xf numFmtId="2" fontId="20" fillId="0" borderId="0" xfId="3" applyNumberFormat="1" applyFont="1" applyBorder="1" applyAlignment="1" applyProtection="1">
      <alignment vertical="top" wrapText="1"/>
    </xf>
    <xf numFmtId="2" fontId="20" fillId="0" borderId="1" xfId="3" applyNumberFormat="1" applyFont="1" applyBorder="1" applyAlignment="1" applyProtection="1">
      <alignment vertical="top"/>
    </xf>
    <xf numFmtId="2" fontId="22" fillId="0" borderId="0" xfId="3" applyNumberFormat="1" applyFont="1" applyBorder="1" applyAlignment="1" applyProtection="1">
      <alignment horizontal="center" vertical="center"/>
    </xf>
    <xf numFmtId="0" fontId="21" fillId="0" borderId="6" xfId="0" applyFont="1" applyBorder="1" applyProtection="1"/>
    <xf numFmtId="0" fontId="21" fillId="0" borderId="7" xfId="0" applyFont="1" applyBorder="1" applyProtection="1"/>
    <xf numFmtId="0" fontId="21" fillId="0" borderId="8" xfId="0" applyFont="1" applyBorder="1" applyProtection="1"/>
    <xf numFmtId="0" fontId="26" fillId="0" borderId="0" xfId="0" applyFont="1" applyAlignment="1" applyProtection="1">
      <alignment horizontal="center" vertical="top"/>
    </xf>
    <xf numFmtId="0" fontId="27" fillId="0" borderId="0" xfId="0" applyFont="1" applyProtection="1"/>
    <xf numFmtId="164" fontId="28" fillId="0" borderId="11" xfId="1" applyFont="1" applyBorder="1" applyAlignment="1" applyProtection="1">
      <alignment horizontal="center" vertical="center" wrapText="1"/>
    </xf>
    <xf numFmtId="164" fontId="28" fillId="0" borderId="12" xfId="1" applyFont="1" applyBorder="1" applyAlignment="1" applyProtection="1">
      <alignment horizontal="center" vertical="center" wrapText="1"/>
    </xf>
    <xf numFmtId="164" fontId="28" fillId="0" borderId="13" xfId="1" applyFont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 wrapText="1"/>
    </xf>
    <xf numFmtId="0" fontId="20" fillId="0" borderId="14" xfId="0" applyFont="1" applyBorder="1" applyAlignment="1" applyProtection="1">
      <alignment horizontal="justify" vertical="top" wrapText="1"/>
    </xf>
    <xf numFmtId="2" fontId="20" fillId="0" borderId="14" xfId="1" applyNumberFormat="1" applyFont="1" applyBorder="1" applyAlignment="1" applyProtection="1">
      <alignment horizontal="center" vertical="center" wrapText="1"/>
    </xf>
    <xf numFmtId="0" fontId="27" fillId="0" borderId="0" xfId="0" applyFont="1" applyAlignment="1" applyProtection="1">
      <alignment horizontal="left" vertical="top" wrapText="1"/>
    </xf>
    <xf numFmtId="0" fontId="27" fillId="0" borderId="0" xfId="0" applyFont="1" applyBorder="1" applyAlignment="1" applyProtection="1">
      <alignment horizontal="left" vertical="top" wrapText="1"/>
    </xf>
    <xf numFmtId="2" fontId="27" fillId="0" borderId="0" xfId="0" applyNumberFormat="1" applyFont="1" applyAlignment="1" applyProtection="1">
      <alignment horizontal="left" vertical="top" wrapText="1"/>
    </xf>
    <xf numFmtId="0" fontId="20" fillId="0" borderId="14" xfId="0" applyFont="1" applyBorder="1" applyAlignment="1" applyProtection="1">
      <alignment horizontal="center" vertical="center" wrapText="1"/>
    </xf>
    <xf numFmtId="0" fontId="30" fillId="0" borderId="0" xfId="0" applyFont="1" applyAlignment="1" applyProtection="1">
      <alignment vertical="center" wrapText="1"/>
    </xf>
    <xf numFmtId="0" fontId="21" fillId="0" borderId="0" xfId="0" applyFont="1" applyBorder="1" applyAlignment="1" applyProtection="1">
      <alignment vertical="top" wrapText="1"/>
    </xf>
    <xf numFmtId="164" fontId="21" fillId="0" borderId="0" xfId="1" applyFont="1" applyBorder="1" applyAlignment="1" applyProtection="1">
      <alignment horizontal="center" wrapText="1"/>
    </xf>
    <xf numFmtId="0" fontId="21" fillId="0" borderId="0" xfId="0" applyFont="1" applyBorder="1" applyAlignment="1" applyProtection="1">
      <alignment horizontal="center" wrapText="1"/>
    </xf>
    <xf numFmtId="164" fontId="21" fillId="0" borderId="1" xfId="1" applyFont="1" applyBorder="1" applyAlignment="1" applyProtection="1">
      <alignment horizontal="center" wrapText="1"/>
    </xf>
    <xf numFmtId="0" fontId="27" fillId="0" borderId="0" xfId="0" applyFont="1" applyAlignment="1" applyProtection="1">
      <alignment vertical="top" wrapText="1"/>
    </xf>
    <xf numFmtId="2" fontId="21" fillId="0" borderId="0" xfId="3" applyNumberFormat="1" applyFont="1" applyBorder="1" applyAlignment="1" applyProtection="1">
      <alignment vertical="top" wrapText="1"/>
    </xf>
    <xf numFmtId="2" fontId="21" fillId="0" borderId="0" xfId="3" applyNumberFormat="1" applyFont="1" applyBorder="1" applyAlignment="1" applyProtection="1">
      <alignment vertical="top"/>
    </xf>
    <xf numFmtId="2" fontId="21" fillId="0" borderId="1" xfId="3" applyNumberFormat="1" applyFont="1" applyBorder="1" applyAlignment="1" applyProtection="1">
      <alignment vertical="top"/>
    </xf>
    <xf numFmtId="2" fontId="31" fillId="0" borderId="0" xfId="3" applyNumberFormat="1" applyFont="1" applyAlignment="1" applyProtection="1">
      <alignment vertical="top"/>
    </xf>
    <xf numFmtId="2" fontId="21" fillId="0" borderId="7" xfId="3" applyNumberFormat="1" applyFont="1" applyBorder="1" applyAlignment="1" applyProtection="1">
      <alignment vertical="top" wrapText="1"/>
    </xf>
    <xf numFmtId="2" fontId="21" fillId="0" borderId="7" xfId="3" applyNumberFormat="1" applyFont="1" applyBorder="1" applyAlignment="1" applyProtection="1">
      <alignment vertical="top"/>
    </xf>
    <xf numFmtId="2" fontId="21" fillId="0" borderId="8" xfId="3" applyNumberFormat="1" applyFont="1" applyBorder="1" applyAlignment="1" applyProtection="1">
      <alignment vertical="top"/>
    </xf>
    <xf numFmtId="164" fontId="32" fillId="0" borderId="0" xfId="1" applyFont="1" applyAlignment="1" applyProtection="1">
      <alignment horizontal="center" vertical="top" wrapText="1"/>
    </xf>
    <xf numFmtId="0" fontId="32" fillId="0" borderId="0" xfId="0" applyFont="1" applyProtection="1"/>
    <xf numFmtId="164" fontId="33" fillId="0" borderId="0" xfId="1" applyFont="1" applyAlignment="1" applyProtection="1">
      <alignment horizontal="center"/>
    </xf>
    <xf numFmtId="164" fontId="32" fillId="0" borderId="0" xfId="1" applyFont="1" applyProtection="1"/>
    <xf numFmtId="0" fontId="34" fillId="0" borderId="0" xfId="0" applyFont="1" applyAlignment="1" applyProtection="1">
      <alignment horizontal="center"/>
    </xf>
    <xf numFmtId="0" fontId="32" fillId="0" borderId="0" xfId="0" applyFont="1" applyAlignment="1" applyProtection="1">
      <alignment vertical="top" wrapText="1"/>
    </xf>
    <xf numFmtId="164" fontId="32" fillId="0" borderId="0" xfId="1" applyFont="1" applyAlignment="1" applyProtection="1">
      <alignment horizontal="center" wrapText="1"/>
    </xf>
    <xf numFmtId="0" fontId="33" fillId="0" borderId="0" xfId="0" applyFont="1" applyAlignment="1" applyProtection="1">
      <alignment horizontal="center" wrapText="1"/>
    </xf>
    <xf numFmtId="164" fontId="33" fillId="0" borderId="0" xfId="1" applyFont="1" applyAlignment="1" applyProtection="1">
      <alignment horizontal="center" wrapText="1"/>
    </xf>
    <xf numFmtId="0" fontId="32" fillId="0" borderId="0" xfId="0" applyFont="1" applyAlignment="1" applyProtection="1">
      <alignment horizontal="center" wrapText="1"/>
    </xf>
    <xf numFmtId="164" fontId="32" fillId="0" borderId="0" xfId="1" applyFont="1" applyAlignment="1" applyProtection="1">
      <alignment horizontal="center" vertical="top"/>
    </xf>
    <xf numFmtId="164" fontId="32" fillId="0" borderId="0" xfId="1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164" fontId="27" fillId="0" borderId="0" xfId="1" applyFont="1" applyAlignment="1" applyProtection="1">
      <alignment horizontal="center" vertical="top"/>
    </xf>
    <xf numFmtId="164" fontId="27" fillId="0" borderId="0" xfId="1" applyFont="1" applyAlignment="1" applyProtection="1">
      <alignment horizontal="center"/>
    </xf>
    <xf numFmtId="0" fontId="27" fillId="0" borderId="0" xfId="0" applyFont="1" applyAlignment="1" applyProtection="1">
      <alignment horizontal="center"/>
    </xf>
    <xf numFmtId="164" fontId="27" fillId="0" borderId="0" xfId="1" applyFont="1" applyAlignment="1" applyProtection="1">
      <alignment vertical="top"/>
    </xf>
    <xf numFmtId="164" fontId="27" fillId="0" borderId="0" xfId="1" applyFont="1" applyProtection="1"/>
    <xf numFmtId="2" fontId="35" fillId="0" borderId="1" xfId="1" applyNumberFormat="1" applyFont="1" applyBorder="1" applyAlignment="1" applyProtection="1">
      <alignment horizontal="right" vertical="top" wrapText="1"/>
      <protection locked="0"/>
    </xf>
    <xf numFmtId="2" fontId="36" fillId="0" borderId="1" xfId="1" applyNumberFormat="1" applyFont="1" applyBorder="1" applyAlignment="1" applyProtection="1">
      <alignment horizontal="right" vertical="center" wrapText="1"/>
      <protection locked="0"/>
    </xf>
    <xf numFmtId="0" fontId="27" fillId="0" borderId="0" xfId="0" applyFont="1" applyAlignment="1" applyProtection="1">
      <alignment horizontal="left" vertical="center"/>
    </xf>
    <xf numFmtId="2" fontId="27" fillId="0" borderId="0" xfId="0" applyNumberFormat="1" applyFont="1" applyAlignment="1" applyProtection="1">
      <alignment horizontal="left" vertical="center"/>
    </xf>
    <xf numFmtId="2" fontId="20" fillId="0" borderId="0" xfId="0" applyNumberFormat="1" applyFont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left" vertical="center"/>
    </xf>
    <xf numFmtId="2" fontId="27" fillId="0" borderId="0" xfId="0" applyNumberFormat="1" applyFont="1" applyBorder="1" applyAlignment="1" applyProtection="1">
      <alignment horizontal="left" vertical="center"/>
    </xf>
    <xf numFmtId="165" fontId="27" fillId="0" borderId="0" xfId="0" applyNumberFormat="1" applyFont="1" applyBorder="1" applyAlignment="1" applyProtection="1">
      <alignment horizontal="left" vertical="center"/>
    </xf>
    <xf numFmtId="2" fontId="20" fillId="0" borderId="0" xfId="0" applyNumberFormat="1" applyFont="1" applyBorder="1" applyAlignment="1" applyProtection="1">
      <alignment horizontal="left" vertical="center"/>
    </xf>
    <xf numFmtId="0" fontId="20" fillId="0" borderId="1" xfId="0" applyFont="1" applyBorder="1" applyAlignment="1" applyProtection="1">
      <alignment horizontal="left" vertical="center"/>
    </xf>
    <xf numFmtId="0" fontId="27" fillId="0" borderId="0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  <protection locked="0"/>
    </xf>
    <xf numFmtId="164" fontId="20" fillId="0" borderId="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left" vertical="center"/>
    </xf>
    <xf numFmtId="166" fontId="20" fillId="0" borderId="0" xfId="1" applyNumberFormat="1" applyFont="1" applyBorder="1" applyAlignment="1" applyProtection="1">
      <alignment horizontal="left" vertical="center"/>
    </xf>
    <xf numFmtId="0" fontId="20" fillId="0" borderId="0" xfId="0" applyNumberFormat="1" applyFont="1" applyBorder="1" applyAlignment="1" applyProtection="1">
      <alignment horizontal="left" vertical="center" wrapText="1"/>
    </xf>
    <xf numFmtId="166" fontId="20" fillId="0" borderId="0" xfId="1" applyNumberFormat="1" applyFont="1" applyBorder="1" applyAlignment="1" applyProtection="1">
      <alignment horizontal="left" vertical="center"/>
      <protection locked="0"/>
    </xf>
    <xf numFmtId="2" fontId="27" fillId="0" borderId="0" xfId="0" applyNumberFormat="1" applyFont="1" applyProtection="1"/>
    <xf numFmtId="0" fontId="20" fillId="0" borderId="5" xfId="0" applyFont="1" applyBorder="1" applyAlignment="1" applyProtection="1">
      <alignment horizontal="left" vertical="center"/>
      <protection locked="0"/>
    </xf>
    <xf numFmtId="165" fontId="20" fillId="0" borderId="0" xfId="0" applyNumberFormat="1" applyFont="1" applyBorder="1" applyAlignment="1" applyProtection="1">
      <alignment vertical="center"/>
      <protection locked="0"/>
    </xf>
    <xf numFmtId="165" fontId="20" fillId="0" borderId="0" xfId="0" applyNumberFormat="1" applyFont="1" applyBorder="1" applyAlignment="1" applyProtection="1">
      <alignment vertical="center"/>
    </xf>
    <xf numFmtId="2" fontId="20" fillId="0" borderId="1" xfId="0" applyNumberFormat="1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20" fillId="0" borderId="7" xfId="0" applyFont="1" applyBorder="1" applyAlignment="1" applyProtection="1">
      <alignment horizontal="left" vertical="center"/>
    </xf>
    <xf numFmtId="2" fontId="20" fillId="0" borderId="7" xfId="0" applyNumberFormat="1" applyFont="1" applyBorder="1" applyAlignment="1" applyProtection="1">
      <alignment horizontal="left" vertical="center"/>
    </xf>
    <xf numFmtId="165" fontId="20" fillId="0" borderId="7" xfId="0" applyNumberFormat="1" applyFont="1" applyBorder="1" applyAlignment="1" applyProtection="1">
      <alignment horizontal="left" vertical="center"/>
    </xf>
    <xf numFmtId="0" fontId="27" fillId="0" borderId="7" xfId="0" applyFont="1" applyBorder="1" applyAlignment="1" applyProtection="1">
      <alignment horizontal="left" vertical="center"/>
    </xf>
    <xf numFmtId="0" fontId="20" fillId="0" borderId="8" xfId="0" applyFont="1" applyBorder="1" applyAlignment="1" applyProtection="1">
      <alignment horizontal="left" vertical="center"/>
    </xf>
    <xf numFmtId="0" fontId="31" fillId="0" borderId="0" xfId="0" applyFont="1" applyBorder="1" applyAlignment="1" applyProtection="1">
      <alignment horizontal="left" vertical="center"/>
    </xf>
    <xf numFmtId="2" fontId="31" fillId="0" borderId="0" xfId="0" applyNumberFormat="1" applyFont="1" applyBorder="1" applyAlignment="1" applyProtection="1">
      <alignment horizontal="left" vertical="center"/>
    </xf>
    <xf numFmtId="165" fontId="31" fillId="0" borderId="0" xfId="0" applyNumberFormat="1" applyFont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2" fontId="20" fillId="0" borderId="0" xfId="0" applyNumberFormat="1" applyFont="1" applyAlignment="1" applyProtection="1">
      <alignment horizontal="left" vertical="center"/>
    </xf>
    <xf numFmtId="165" fontId="20" fillId="0" borderId="0" xfId="0" applyNumberFormat="1" applyFont="1" applyAlignment="1" applyProtection="1">
      <alignment horizontal="left" vertical="center"/>
    </xf>
    <xf numFmtId="165" fontId="27" fillId="0" borderId="0" xfId="0" applyNumberFormat="1" applyFont="1" applyAlignment="1" applyProtection="1">
      <alignment horizontal="left" vertical="center"/>
    </xf>
    <xf numFmtId="2" fontId="35" fillId="0" borderId="0" xfId="0" applyNumberFormat="1" applyFont="1" applyBorder="1" applyAlignment="1" applyProtection="1">
      <alignment horizontal="left" vertical="center"/>
      <protection locked="0"/>
    </xf>
    <xf numFmtId="0" fontId="35" fillId="0" borderId="0" xfId="0" applyFont="1" applyBorder="1" applyAlignment="1" applyProtection="1">
      <alignment horizontal="left" vertical="center"/>
      <protection locked="0"/>
    </xf>
    <xf numFmtId="2" fontId="35" fillId="0" borderId="21" xfId="0" applyNumberFormat="1" applyFont="1" applyBorder="1" applyAlignment="1" applyProtection="1">
      <alignment horizontal="left" vertical="center"/>
      <protection locked="0"/>
    </xf>
    <xf numFmtId="0" fontId="35" fillId="0" borderId="1" xfId="0" applyFont="1" applyBorder="1" applyAlignment="1" applyProtection="1">
      <alignment horizontal="left" vertical="center"/>
      <protection locked="0"/>
    </xf>
    <xf numFmtId="164" fontId="35" fillId="0" borderId="0" xfId="0" applyNumberFormat="1" applyFont="1" applyBorder="1" applyAlignment="1" applyProtection="1">
      <alignment horizontal="left" vertical="center"/>
      <protection locked="0"/>
    </xf>
    <xf numFmtId="165" fontId="38" fillId="0" borderId="0" xfId="0" applyNumberFormat="1" applyFont="1" applyBorder="1" applyAlignment="1" applyProtection="1">
      <alignment horizontal="left" vertical="center"/>
      <protection locked="0"/>
    </xf>
    <xf numFmtId="2" fontId="20" fillId="0" borderId="0" xfId="0" applyNumberFormat="1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NumberFormat="1" applyFont="1" applyBorder="1" applyAlignment="1" applyProtection="1">
      <alignment horizontal="center" vertical="center" wrapText="1"/>
    </xf>
    <xf numFmtId="2" fontId="20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1" fontId="35" fillId="0" borderId="0" xfId="0" applyNumberFormat="1" applyFont="1" applyBorder="1" applyAlignment="1" applyProtection="1">
      <alignment horizontal="left" vertical="center"/>
      <protection locked="0"/>
    </xf>
    <xf numFmtId="3" fontId="35" fillId="0" borderId="0" xfId="1" applyNumberFormat="1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right" vertical="center" wrapText="1"/>
    </xf>
    <xf numFmtId="0" fontId="21" fillId="0" borderId="22" xfId="0" applyFont="1" applyBorder="1" applyProtection="1"/>
    <xf numFmtId="0" fontId="21" fillId="0" borderId="23" xfId="0" applyFont="1" applyBorder="1" applyProtection="1"/>
    <xf numFmtId="0" fontId="21" fillId="0" borderId="22" xfId="0" applyFont="1" applyBorder="1" applyAlignment="1" applyProtection="1">
      <alignment vertical="top"/>
    </xf>
    <xf numFmtId="0" fontId="21" fillId="0" borderId="0" xfId="0" applyFont="1" applyBorder="1" applyAlignment="1" applyProtection="1">
      <alignment vertical="top"/>
    </xf>
    <xf numFmtId="0" fontId="24" fillId="0" borderId="0" xfId="0" applyFont="1" applyBorder="1" applyAlignment="1" applyProtection="1">
      <alignment vertical="top" wrapText="1"/>
    </xf>
    <xf numFmtId="0" fontId="20" fillId="0" borderId="14" xfId="0" applyFont="1" applyBorder="1" applyAlignment="1" applyProtection="1">
      <alignment horizontal="center" vertical="top" wrapText="1"/>
    </xf>
    <xf numFmtId="0" fontId="20" fillId="0" borderId="14" xfId="0" applyFont="1" applyBorder="1" applyAlignment="1" applyProtection="1">
      <alignment vertical="top" wrapText="1"/>
    </xf>
    <xf numFmtId="0" fontId="39" fillId="0" borderId="0" xfId="0" applyFont="1" applyProtection="1"/>
    <xf numFmtId="0" fontId="31" fillId="0" borderId="14" xfId="0" applyFont="1" applyBorder="1" applyAlignment="1" applyProtection="1">
      <alignment horizontal="center" vertical="top" wrapText="1"/>
    </xf>
    <xf numFmtId="0" fontId="21" fillId="0" borderId="14" xfId="0" applyFont="1" applyBorder="1" applyAlignment="1" applyProtection="1">
      <alignment vertical="top" wrapText="1"/>
    </xf>
    <xf numFmtId="2" fontId="20" fillId="0" borderId="14" xfId="1" applyNumberFormat="1" applyFont="1" applyFill="1" applyBorder="1" applyAlignment="1" applyProtection="1">
      <alignment horizontal="center" vertical="top" wrapText="1"/>
    </xf>
    <xf numFmtId="0" fontId="20" fillId="0" borderId="14" xfId="0" applyFont="1" applyBorder="1" applyAlignment="1" applyProtection="1">
      <alignment horizontal="center" vertical="top"/>
    </xf>
    <xf numFmtId="2" fontId="20" fillId="0" borderId="0" xfId="1" applyNumberFormat="1" applyFont="1" applyFill="1" applyBorder="1" applyAlignment="1" applyProtection="1">
      <alignment horizontal="center" vertical="top" wrapText="1"/>
    </xf>
    <xf numFmtId="2" fontId="20" fillId="0" borderId="14" xfId="1" applyNumberFormat="1" applyFont="1" applyBorder="1" applyAlignment="1" applyProtection="1">
      <alignment horizontal="center" vertical="top" wrapText="1"/>
    </xf>
    <xf numFmtId="0" fontId="31" fillId="0" borderId="0" xfId="0" applyFont="1" applyBorder="1" applyAlignment="1" applyProtection="1">
      <alignment horizontal="center" vertical="top" wrapText="1"/>
    </xf>
    <xf numFmtId="0" fontId="20" fillId="0" borderId="0" xfId="0" applyNumberFormat="1" applyFont="1" applyBorder="1" applyAlignment="1" applyProtection="1">
      <alignment horizontal="center" vertical="top" wrapText="1"/>
    </xf>
    <xf numFmtId="0" fontId="20" fillId="0" borderId="0" xfId="0" applyFont="1" applyBorder="1" applyAlignment="1" applyProtection="1">
      <alignment horizontal="center" vertical="top" wrapText="1"/>
    </xf>
    <xf numFmtId="2" fontId="20" fillId="0" borderId="0" xfId="1" applyNumberFormat="1" applyFont="1" applyBorder="1" applyAlignment="1" applyProtection="1">
      <alignment horizontal="center" vertical="top" wrapText="1"/>
    </xf>
    <xf numFmtId="0" fontId="31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/>
    </xf>
    <xf numFmtId="164" fontId="21" fillId="0" borderId="0" xfId="1" applyFont="1" applyFill="1" applyBorder="1" applyProtection="1"/>
    <xf numFmtId="2" fontId="21" fillId="0" borderId="0" xfId="0" applyNumberFormat="1" applyFont="1" applyAlignment="1" applyProtection="1">
      <alignment horizontal="center" vertical="center"/>
    </xf>
    <xf numFmtId="2" fontId="21" fillId="0" borderId="0" xfId="0" applyNumberFormat="1" applyFont="1" applyProtection="1"/>
    <xf numFmtId="164" fontId="21" fillId="0" borderId="0" xfId="1" applyFont="1" applyFill="1" applyBorder="1" applyAlignment="1" applyProtection="1"/>
    <xf numFmtId="2" fontId="21" fillId="0" borderId="0" xfId="1" applyNumberFormat="1" applyFont="1" applyFill="1" applyBorder="1" applyProtection="1"/>
    <xf numFmtId="2" fontId="21" fillId="0" borderId="0" xfId="0" applyNumberFormat="1" applyFont="1" applyBorder="1" applyProtection="1"/>
    <xf numFmtId="0" fontId="21" fillId="0" borderId="0" xfId="0" applyFont="1" applyBorder="1" applyAlignment="1" applyProtection="1">
      <alignment horizontal="center" vertical="top" wrapText="1"/>
    </xf>
    <xf numFmtId="2" fontId="21" fillId="0" borderId="0" xfId="1" applyNumberFormat="1" applyFont="1" applyFill="1" applyBorder="1" applyAlignment="1" applyProtection="1">
      <alignment horizontal="center" vertical="top" wrapText="1"/>
    </xf>
    <xf numFmtId="0" fontId="21" fillId="0" borderId="14" xfId="2" applyFont="1" applyBorder="1" applyProtection="1"/>
    <xf numFmtId="0" fontId="21" fillId="0" borderId="14" xfId="2" applyFont="1" applyBorder="1" applyAlignment="1" applyProtection="1">
      <alignment wrapText="1"/>
    </xf>
    <xf numFmtId="0" fontId="21" fillId="0" borderId="14" xfId="2" applyFont="1" applyBorder="1" applyAlignment="1" applyProtection="1">
      <alignment horizontal="center"/>
    </xf>
    <xf numFmtId="0" fontId="21" fillId="0" borderId="14" xfId="2" applyFont="1" applyBorder="1" applyAlignment="1" applyProtection="1"/>
    <xf numFmtId="0" fontId="21" fillId="0" borderId="14" xfId="2" applyFont="1" applyFill="1" applyBorder="1" applyAlignment="1" applyProtection="1"/>
    <xf numFmtId="0" fontId="21" fillId="0" borderId="14" xfId="2" applyFont="1" applyFill="1" applyBorder="1" applyAlignment="1" applyProtection="1">
      <alignment horizontal="center"/>
    </xf>
    <xf numFmtId="0" fontId="21" fillId="0" borderId="14" xfId="0" applyFont="1" applyBorder="1" applyProtection="1"/>
    <xf numFmtId="0" fontId="21" fillId="0" borderId="14" xfId="2" applyFont="1" applyFill="1" applyBorder="1" applyProtection="1"/>
    <xf numFmtId="2" fontId="20" fillId="0" borderId="0" xfId="3" applyNumberFormat="1" applyFont="1" applyAlignment="1" applyProtection="1">
      <alignment wrapText="1"/>
    </xf>
    <xf numFmtId="2" fontId="20" fillId="0" borderId="0" xfId="3" applyNumberFormat="1" applyFont="1" applyBorder="1" applyAlignment="1" applyProtection="1">
      <alignment horizontal="center"/>
    </xf>
    <xf numFmtId="0" fontId="20" fillId="0" borderId="0" xfId="0" applyFont="1" applyAlignment="1" applyProtection="1">
      <alignment horizontal="center"/>
    </xf>
    <xf numFmtId="2" fontId="15" fillId="0" borderId="14" xfId="1" applyNumberFormat="1" applyFont="1" applyBorder="1" applyAlignment="1" applyProtection="1">
      <alignment horizontal="center"/>
    </xf>
    <xf numFmtId="2" fontId="35" fillId="0" borderId="14" xfId="0" applyNumberFormat="1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center"/>
    </xf>
    <xf numFmtId="0" fontId="19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center" vertical="center"/>
    </xf>
    <xf numFmtId="0" fontId="20" fillId="0" borderId="5" xfId="0" applyFont="1" applyBorder="1" applyAlignment="1" applyProtection="1">
      <alignment horizontal="left"/>
    </xf>
    <xf numFmtId="0" fontId="20" fillId="0" borderId="0" xfId="0" applyFont="1" applyBorder="1" applyAlignment="1" applyProtection="1">
      <alignment horizontal="left"/>
    </xf>
    <xf numFmtId="0" fontId="20" fillId="0" borderId="5" xfId="0" applyFont="1" applyBorder="1" applyAlignment="1" applyProtection="1">
      <alignment horizontal="left" vertical="top"/>
    </xf>
    <xf numFmtId="0" fontId="20" fillId="0" borderId="0" xfId="0" applyFont="1" applyBorder="1" applyAlignment="1" applyProtection="1">
      <alignment horizontal="left" vertical="top"/>
    </xf>
    <xf numFmtId="2" fontId="22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left" vertical="center"/>
    </xf>
    <xf numFmtId="0" fontId="24" fillId="0" borderId="5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0" fontId="24" fillId="0" borderId="1" xfId="0" applyFont="1" applyBorder="1" applyAlignment="1" applyProtection="1">
      <alignment horizontal="center" vertical="center"/>
    </xf>
    <xf numFmtId="0" fontId="23" fillId="0" borderId="5" xfId="0" applyFont="1" applyBorder="1" applyAlignment="1" applyProtection="1">
      <alignment horizontal="justify" vertical="center" wrapText="1"/>
    </xf>
    <xf numFmtId="0" fontId="23" fillId="0" borderId="0" xfId="0" applyFont="1" applyBorder="1" applyAlignment="1" applyProtection="1">
      <alignment horizontal="justify" vertical="center" wrapText="1"/>
    </xf>
    <xf numFmtId="0" fontId="23" fillId="0" borderId="1" xfId="0" applyFont="1" applyBorder="1" applyAlignment="1" applyProtection="1">
      <alignment horizontal="justify" vertical="center" wrapText="1"/>
    </xf>
    <xf numFmtId="0" fontId="20" fillId="0" borderId="0" xfId="0" applyFont="1" applyBorder="1" applyAlignment="1" applyProtection="1">
      <alignment horizontal="center"/>
    </xf>
    <xf numFmtId="0" fontId="20" fillId="0" borderId="1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 wrapText="1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8" fillId="0" borderId="0" xfId="0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left"/>
    </xf>
    <xf numFmtId="0" fontId="7" fillId="0" borderId="1" xfId="0" applyFont="1" applyBorder="1" applyAlignment="1" applyProtection="1">
      <alignment horizontal="left"/>
    </xf>
    <xf numFmtId="0" fontId="16" fillId="0" borderId="0" xfId="0" applyFont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right"/>
    </xf>
    <xf numFmtId="0" fontId="20" fillId="0" borderId="0" xfId="0" applyFont="1" applyBorder="1" applyAlignment="1" applyProtection="1">
      <alignment horizontal="right"/>
    </xf>
    <xf numFmtId="0" fontId="23" fillId="0" borderId="5" xfId="0" applyFont="1" applyBorder="1" applyAlignment="1" applyProtection="1">
      <alignment horizontal="right" vertical="center" wrapText="1"/>
    </xf>
    <xf numFmtId="0" fontId="23" fillId="0" borderId="0" xfId="0" applyFont="1" applyBorder="1" applyAlignment="1" applyProtection="1">
      <alignment horizontal="right" vertical="center" wrapText="1"/>
    </xf>
    <xf numFmtId="0" fontId="13" fillId="0" borderId="0" xfId="0" applyFont="1" applyBorder="1" applyAlignment="1" applyProtection="1">
      <alignment horizontal="left"/>
    </xf>
    <xf numFmtId="0" fontId="13" fillId="0" borderId="1" xfId="0" applyFont="1" applyBorder="1" applyAlignment="1" applyProtection="1">
      <alignment horizontal="left"/>
    </xf>
    <xf numFmtId="2" fontId="17" fillId="0" borderId="0" xfId="0" applyNumberFormat="1" applyFont="1" applyBorder="1" applyAlignment="1" applyProtection="1">
      <alignment horizontal="center"/>
      <protection locked="0"/>
    </xf>
    <xf numFmtId="2" fontId="31" fillId="0" borderId="0" xfId="3" applyNumberFormat="1" applyFont="1" applyAlignment="1" applyProtection="1">
      <alignment horizontal="center" vertical="top"/>
    </xf>
    <xf numFmtId="2" fontId="20" fillId="0" borderId="14" xfId="0" applyNumberFormat="1" applyFont="1" applyBorder="1" applyAlignment="1" applyProtection="1">
      <alignment horizontal="center" vertical="center" wrapText="1"/>
    </xf>
    <xf numFmtId="2" fontId="35" fillId="0" borderId="18" xfId="1" applyNumberFormat="1" applyFont="1" applyBorder="1" applyAlignment="1" applyProtection="1">
      <alignment horizontal="center" vertical="center" wrapText="1"/>
      <protection locked="0"/>
    </xf>
    <xf numFmtId="2" fontId="35" fillId="0" borderId="17" xfId="1" applyNumberFormat="1" applyFont="1" applyBorder="1" applyAlignment="1" applyProtection="1">
      <alignment horizontal="center" vertical="center" wrapText="1"/>
      <protection locked="0"/>
    </xf>
    <xf numFmtId="2" fontId="22" fillId="0" borderId="5" xfId="3" applyNumberFormat="1" applyFont="1" applyBorder="1" applyAlignment="1" applyProtection="1">
      <alignment horizontal="center" wrapText="1"/>
    </xf>
    <xf numFmtId="2" fontId="22" fillId="0" borderId="0" xfId="3" applyNumberFormat="1" applyFont="1" applyBorder="1" applyAlignment="1" applyProtection="1">
      <alignment horizontal="center" wrapText="1"/>
    </xf>
    <xf numFmtId="0" fontId="21" fillId="0" borderId="5" xfId="0" applyFont="1" applyBorder="1" applyAlignment="1" applyProtection="1">
      <alignment horizontal="right" vertical="center" wrapText="1"/>
    </xf>
    <xf numFmtId="0" fontId="21" fillId="0" borderId="0" xfId="0" applyFont="1" applyBorder="1" applyAlignment="1" applyProtection="1">
      <alignment horizontal="right" vertical="center" wrapText="1"/>
    </xf>
    <xf numFmtId="0" fontId="33" fillId="0" borderId="0" xfId="0" applyFont="1" applyAlignment="1" applyProtection="1">
      <alignment horizontal="center" wrapText="1"/>
    </xf>
    <xf numFmtId="0" fontId="20" fillId="0" borderId="14" xfId="1" applyNumberFormat="1" applyFont="1" applyBorder="1" applyAlignment="1" applyProtection="1">
      <alignment horizontal="center" vertical="center" wrapText="1"/>
    </xf>
    <xf numFmtId="2" fontId="35" fillId="0" borderId="19" xfId="1" applyNumberFormat="1" applyFont="1" applyBorder="1" applyAlignment="1" applyProtection="1">
      <alignment horizontal="center" vertical="center" wrapText="1"/>
      <protection locked="0"/>
    </xf>
    <xf numFmtId="2" fontId="35" fillId="0" borderId="13" xfId="1" applyNumberFormat="1" applyFont="1" applyBorder="1" applyAlignment="1" applyProtection="1">
      <alignment horizontal="center" vertical="center" wrapText="1"/>
      <protection locked="0"/>
    </xf>
    <xf numFmtId="0" fontId="23" fillId="0" borderId="9" xfId="0" applyFont="1" applyBorder="1" applyAlignment="1" applyProtection="1">
      <alignment horizontal="right" vertical="center" wrapText="1"/>
    </xf>
    <xf numFmtId="0" fontId="23" fillId="0" borderId="10" xfId="0" applyFont="1" applyBorder="1" applyAlignment="1" applyProtection="1">
      <alignment horizontal="right" vertical="center" wrapText="1"/>
    </xf>
    <xf numFmtId="0" fontId="16" fillId="0" borderId="9" xfId="0" applyFont="1" applyBorder="1" applyAlignment="1" applyProtection="1">
      <alignment horizontal="left" vertical="center" wrapText="1"/>
      <protection locked="0"/>
    </xf>
    <xf numFmtId="0" fontId="16" fillId="0" borderId="16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 applyProtection="1">
      <alignment horizontal="left" vertical="center" wrapText="1"/>
      <protection locked="0"/>
    </xf>
    <xf numFmtId="0" fontId="20" fillId="0" borderId="15" xfId="0" applyNumberFormat="1" applyFont="1" applyBorder="1" applyAlignment="1" applyProtection="1">
      <alignment horizontal="center" vertical="center" wrapText="1"/>
    </xf>
    <xf numFmtId="0" fontId="20" fillId="0" borderId="12" xfId="0" applyNumberFormat="1" applyFont="1" applyBorder="1" applyAlignment="1" applyProtection="1">
      <alignment horizontal="center" vertical="center" wrapText="1"/>
    </xf>
    <xf numFmtId="2" fontId="31" fillId="0" borderId="0" xfId="3" applyNumberFormat="1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 wrapText="1"/>
    </xf>
    <xf numFmtId="0" fontId="20" fillId="0" borderId="0" xfId="0" applyFont="1" applyBorder="1" applyAlignment="1" applyProtection="1">
      <alignment horizontal="left" vertical="center" wrapText="1"/>
    </xf>
    <xf numFmtId="0" fontId="20" fillId="0" borderId="1" xfId="0" applyFont="1" applyBorder="1" applyAlignment="1" applyProtection="1">
      <alignment horizontal="left" vertical="center" wrapText="1"/>
    </xf>
    <xf numFmtId="0" fontId="20" fillId="0" borderId="5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2" fontId="37" fillId="0" borderId="0" xfId="0" applyNumberFormat="1" applyFont="1" applyBorder="1" applyAlignment="1" applyProtection="1">
      <alignment horizontal="left" vertical="center"/>
    </xf>
    <xf numFmtId="0" fontId="37" fillId="0" borderId="1" xfId="0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35" fillId="0" borderId="0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 wrapText="1"/>
    </xf>
    <xf numFmtId="0" fontId="23" fillId="0" borderId="16" xfId="0" applyFont="1" applyBorder="1" applyAlignment="1" applyProtection="1">
      <alignment horizontal="left" vertical="center" wrapText="1"/>
    </xf>
    <xf numFmtId="0" fontId="23" fillId="0" borderId="10" xfId="0" applyFont="1" applyBorder="1" applyAlignment="1" applyProtection="1">
      <alignment horizontal="left" vertical="center" wrapText="1"/>
    </xf>
    <xf numFmtId="2" fontId="27" fillId="0" borderId="2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center" vertical="center"/>
      <protection locked="0"/>
    </xf>
    <xf numFmtId="164" fontId="21" fillId="0" borderId="0" xfId="1" applyFont="1" applyFill="1" applyBorder="1" applyAlignment="1" applyProtection="1">
      <alignment horizontal="left"/>
    </xf>
    <xf numFmtId="0" fontId="21" fillId="0" borderId="14" xfId="0" applyFont="1" applyBorder="1" applyAlignment="1" applyProtection="1">
      <alignment horizontal="center"/>
    </xf>
    <xf numFmtId="0" fontId="20" fillId="0" borderId="24" xfId="0" applyFont="1" applyBorder="1" applyAlignment="1" applyProtection="1">
      <alignment horizontal="center" vertical="top"/>
    </xf>
    <xf numFmtId="0" fontId="20" fillId="0" borderId="25" xfId="0" applyFont="1" applyBorder="1" applyAlignment="1" applyProtection="1">
      <alignment horizontal="center" vertical="top"/>
    </xf>
    <xf numFmtId="0" fontId="20" fillId="0" borderId="26" xfId="0" applyFont="1" applyBorder="1" applyAlignment="1" applyProtection="1">
      <alignment horizontal="center" vertical="top"/>
    </xf>
    <xf numFmtId="0" fontId="19" fillId="0" borderId="0" xfId="0" applyFont="1" applyAlignment="1" applyProtection="1">
      <alignment horizontal="center"/>
    </xf>
    <xf numFmtId="0" fontId="21" fillId="0" borderId="0" xfId="0" applyFont="1" applyBorder="1" applyAlignment="1" applyProtection="1">
      <alignment horizontal="center" vertical="top" wrapText="1"/>
    </xf>
    <xf numFmtId="0" fontId="21" fillId="0" borderId="0" xfId="0" applyFont="1" applyBorder="1" applyAlignment="1" applyProtection="1">
      <alignment horizontal="left" vertical="top" wrapText="1"/>
    </xf>
    <xf numFmtId="0" fontId="22" fillId="0" borderId="14" xfId="2" applyFont="1" applyBorder="1" applyAlignment="1" applyProtection="1">
      <alignment horizontal="center"/>
    </xf>
    <xf numFmtId="0" fontId="25" fillId="0" borderId="14" xfId="0" applyFont="1" applyBorder="1" applyAlignment="1" applyProtection="1">
      <alignment horizontal="left" vertical="center" wrapText="1"/>
    </xf>
    <xf numFmtId="0" fontId="20" fillId="0" borderId="14" xfId="0" applyFont="1" applyBorder="1" applyAlignment="1" applyProtection="1">
      <alignment horizontal="center" vertical="top" wrapText="1"/>
    </xf>
    <xf numFmtId="0" fontId="24" fillId="0" borderId="14" xfId="0" applyFont="1" applyBorder="1" applyAlignment="1" applyProtection="1">
      <alignment horizontal="right" vertical="center" wrapText="1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right"/>
    </xf>
    <xf numFmtId="0" fontId="20" fillId="0" borderId="14" xfId="0" applyFont="1" applyBorder="1" applyAlignment="1" applyProtection="1">
      <alignment horizontal="center"/>
    </xf>
    <xf numFmtId="0" fontId="20" fillId="0" borderId="5" xfId="0" applyFont="1" applyBorder="1" applyAlignment="1" applyProtection="1">
      <alignment horizontal="left" vertical="top" wrapText="1"/>
      <protection locked="0"/>
    </xf>
    <xf numFmtId="0" fontId="20" fillId="0" borderId="0" xfId="0" applyFont="1" applyBorder="1" applyAlignment="1" applyProtection="1">
      <alignment horizontal="left" vertical="top" wrapText="1"/>
      <protection locked="0"/>
    </xf>
    <xf numFmtId="0" fontId="20" fillId="0" borderId="1" xfId="0" applyFont="1" applyBorder="1" applyAlignment="1" applyProtection="1">
      <alignment horizontal="left" vertical="top" wrapText="1"/>
      <protection locked="0"/>
    </xf>
    <xf numFmtId="0" fontId="15" fillId="0" borderId="0" xfId="0" applyFont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21" fillId="0" borderId="0" xfId="0" applyFont="1" applyAlignment="1" applyProtection="1">
      <alignment horizontal="right" vertical="center" wrapText="1"/>
    </xf>
    <xf numFmtId="0" fontId="21" fillId="0" borderId="5" xfId="0" applyFont="1" applyBorder="1" applyAlignment="1" applyProtection="1">
      <alignment horizontal="left" vertical="center" wrapText="1"/>
    </xf>
    <xf numFmtId="0" fontId="21" fillId="0" borderId="0" xfId="0" applyFont="1" applyBorder="1" applyAlignment="1" applyProtection="1">
      <alignment horizontal="left" vertical="center" wrapText="1"/>
    </xf>
    <xf numFmtId="0" fontId="21" fillId="0" borderId="1" xfId="0" applyFont="1" applyBorder="1" applyAlignment="1" applyProtection="1">
      <alignment horizontal="left" vertical="center" wrapText="1"/>
    </xf>
    <xf numFmtId="2" fontId="17" fillId="0" borderId="0" xfId="3" applyNumberFormat="1" applyFont="1" applyBorder="1" applyAlignment="1" applyProtection="1">
      <alignment horizontal="center" vertical="center"/>
    </xf>
    <xf numFmtId="2" fontId="22" fillId="0" borderId="6" xfId="3" applyNumberFormat="1" applyFont="1" applyBorder="1" applyAlignment="1" applyProtection="1">
      <alignment wrapText="1"/>
    </xf>
    <xf numFmtId="2" fontId="22" fillId="0" borderId="7" xfId="3" applyNumberFormat="1" applyFont="1" applyBorder="1" applyAlignment="1" applyProtection="1">
      <alignment wrapText="1"/>
    </xf>
    <xf numFmtId="2" fontId="22" fillId="0" borderId="5" xfId="3" applyNumberFormat="1" applyFont="1" applyBorder="1" applyAlignment="1" applyProtection="1">
      <alignment horizontal="center"/>
    </xf>
    <xf numFmtId="2" fontId="22" fillId="0" borderId="0" xfId="3" applyNumberFormat="1" applyFont="1" applyBorder="1" applyAlignment="1" applyProtection="1">
      <alignment horizontal="center"/>
    </xf>
    <xf numFmtId="2" fontId="17" fillId="0" borderId="5" xfId="3" applyNumberFormat="1" applyFont="1" applyBorder="1" applyAlignment="1" applyProtection="1">
      <alignment horizontal="center" wrapText="1"/>
      <protection locked="0"/>
    </xf>
    <xf numFmtId="2" fontId="17" fillId="0" borderId="0" xfId="3" applyNumberFormat="1" applyFont="1" applyBorder="1" applyAlignment="1" applyProtection="1">
      <alignment horizontal="center" wrapText="1"/>
      <protection locked="0"/>
    </xf>
    <xf numFmtId="2" fontId="35" fillId="0" borderId="0" xfId="0" applyNumberFormat="1" applyFont="1" applyAlignment="1" applyProtection="1">
      <alignment horizontal="center"/>
    </xf>
    <xf numFmtId="0" fontId="21" fillId="0" borderId="14" xfId="0" applyFont="1" applyBorder="1" applyAlignment="1" applyProtection="1"/>
    <xf numFmtId="0" fontId="15" fillId="0" borderId="14" xfId="0" applyFont="1" applyBorder="1" applyAlignment="1" applyProtection="1"/>
    <xf numFmtId="0" fontId="35" fillId="0" borderId="14" xfId="1" applyNumberFormat="1" applyFont="1" applyFill="1" applyBorder="1" applyAlignment="1" applyProtection="1">
      <alignment horizontal="center" vertical="top" wrapText="1"/>
    </xf>
  </cellXfs>
  <cellStyles count="4">
    <cellStyle name="Comma" xfId="1" builtinId="3"/>
    <cellStyle name="Normal" xfId="0" builtinId="0"/>
    <cellStyle name="Normal 2 2" xfId="2"/>
    <cellStyle name="Normal_COMPOUND WALL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ushi/Desktop/Khokhar/Modasa%20B%20V%20Shah/Slab%20Drain/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1"/>
  <sheetViews>
    <sheetView view="pageBreakPreview" zoomScale="115" zoomScaleNormal="100" zoomScaleSheetLayoutView="115" workbookViewId="0">
      <selection activeCell="G41" sqref="G41"/>
    </sheetView>
  </sheetViews>
  <sheetFormatPr defaultColWidth="9.109375" defaultRowHeight="13.2"/>
  <cols>
    <col min="1" max="3" width="12.88671875" style="1" customWidth="1"/>
    <col min="4" max="7" width="9.109375" style="1"/>
    <col min="8" max="8" width="14.77734375" style="1" customWidth="1"/>
    <col min="9" max="16384" width="9.109375" style="1"/>
  </cols>
  <sheetData>
    <row r="1" spans="1:17" ht="21.6" thickBot="1">
      <c r="A1" s="168" t="s">
        <v>122</v>
      </c>
      <c r="B1" s="169"/>
      <c r="C1" s="169"/>
      <c r="D1" s="169"/>
      <c r="E1" s="169"/>
      <c r="F1" s="169"/>
      <c r="G1" s="169"/>
      <c r="H1" s="169"/>
      <c r="I1" s="170"/>
    </row>
    <row r="2" spans="1:17" ht="25.2" customHeight="1">
      <c r="A2" s="171" t="s">
        <v>5</v>
      </c>
      <c r="B2" s="172"/>
      <c r="C2" s="172"/>
      <c r="D2" s="11" t="s">
        <v>123</v>
      </c>
      <c r="E2" s="11"/>
      <c r="F2" s="9" t="s">
        <v>124</v>
      </c>
      <c r="G2" s="11" t="s">
        <v>125</v>
      </c>
      <c r="H2" s="11"/>
      <c r="I2" s="11"/>
      <c r="J2" s="194" t="s">
        <v>55</v>
      </c>
      <c r="K2" s="195"/>
      <c r="L2" s="195"/>
      <c r="M2" s="195"/>
      <c r="N2" s="195"/>
      <c r="O2" s="196"/>
    </row>
    <row r="3" spans="1:17" ht="15">
      <c r="A3" s="12"/>
      <c r="B3" s="13"/>
      <c r="C3" s="13"/>
      <c r="D3" s="14"/>
      <c r="E3" s="15"/>
      <c r="F3" s="15"/>
      <c r="G3" s="15"/>
      <c r="H3" s="15"/>
      <c r="I3" s="16"/>
    </row>
    <row r="4" spans="1:17" ht="15">
      <c r="A4" s="171" t="s">
        <v>6</v>
      </c>
      <c r="B4" s="172"/>
      <c r="C4" s="172"/>
      <c r="D4" s="11" t="s">
        <v>126</v>
      </c>
      <c r="E4" s="11"/>
      <c r="F4" s="9" t="s">
        <v>127</v>
      </c>
      <c r="G4" s="11" t="s">
        <v>129</v>
      </c>
      <c r="H4" s="11"/>
      <c r="I4" s="9" t="s">
        <v>127</v>
      </c>
      <c r="J4" s="202" t="s">
        <v>59</v>
      </c>
      <c r="K4" s="202"/>
      <c r="L4" s="202"/>
      <c r="M4" s="202"/>
      <c r="N4" s="202"/>
      <c r="O4" s="203"/>
    </row>
    <row r="5" spans="1:17" ht="15">
      <c r="A5" s="12"/>
      <c r="B5" s="13"/>
      <c r="C5" s="13"/>
      <c r="D5" s="11" t="s">
        <v>128</v>
      </c>
      <c r="E5" s="15"/>
      <c r="F5" s="9" t="s">
        <v>83</v>
      </c>
      <c r="G5" s="11"/>
      <c r="H5" s="15"/>
      <c r="I5" s="16"/>
    </row>
    <row r="6" spans="1:17" ht="15">
      <c r="A6" s="171" t="s">
        <v>7</v>
      </c>
      <c r="B6" s="172"/>
      <c r="C6" s="172"/>
      <c r="D6" s="15"/>
      <c r="E6" s="15"/>
      <c r="F6" s="15"/>
      <c r="G6" s="15"/>
      <c r="H6" s="15"/>
      <c r="I6" s="16"/>
    </row>
    <row r="7" spans="1:17" ht="15">
      <c r="A7" s="12"/>
      <c r="B7" s="13"/>
      <c r="C7" s="13"/>
      <c r="D7" s="15"/>
      <c r="E7" s="15"/>
      <c r="F7" s="15"/>
      <c r="G7" s="15"/>
      <c r="H7" s="15"/>
      <c r="I7" s="16"/>
    </row>
    <row r="8" spans="1:17" ht="20.25" customHeight="1">
      <c r="A8" s="173" t="s">
        <v>8</v>
      </c>
      <c r="B8" s="174"/>
      <c r="C8" s="174"/>
      <c r="D8" s="197" t="s">
        <v>119</v>
      </c>
      <c r="E8" s="197"/>
      <c r="F8" s="197"/>
      <c r="G8" s="197"/>
      <c r="H8" s="197"/>
      <c r="I8" s="187"/>
      <c r="J8" s="2"/>
      <c r="L8" s="3"/>
      <c r="M8" s="4"/>
      <c r="N8" s="2"/>
    </row>
    <row r="9" spans="1:17" ht="15">
      <c r="A9" s="12"/>
      <c r="B9" s="13"/>
      <c r="C9" s="13"/>
      <c r="D9" s="197"/>
      <c r="E9" s="197"/>
      <c r="F9" s="197"/>
      <c r="G9" s="197"/>
      <c r="H9" s="197"/>
      <c r="I9" s="187"/>
    </row>
    <row r="10" spans="1:17" ht="15">
      <c r="A10" s="171" t="s">
        <v>9</v>
      </c>
      <c r="B10" s="172"/>
      <c r="C10" s="172"/>
      <c r="D10" s="15"/>
      <c r="E10" s="15"/>
      <c r="F10" s="15"/>
      <c r="G10" s="15"/>
      <c r="H10" s="15"/>
      <c r="I10" s="16"/>
    </row>
    <row r="11" spans="1:17" ht="15">
      <c r="A11" s="12"/>
      <c r="B11" s="13"/>
      <c r="C11" s="13"/>
      <c r="D11" s="15"/>
      <c r="E11" s="15"/>
      <c r="F11" s="15"/>
      <c r="G11" s="15"/>
      <c r="H11" s="15"/>
      <c r="I11" s="16"/>
    </row>
    <row r="12" spans="1:17" ht="15">
      <c r="A12" s="171" t="s">
        <v>10</v>
      </c>
      <c r="B12" s="172"/>
      <c r="C12" s="172"/>
      <c r="D12" s="15"/>
      <c r="E12" s="15"/>
      <c r="F12" s="15"/>
      <c r="G12" s="15"/>
      <c r="H12" s="15"/>
      <c r="I12" s="16"/>
    </row>
    <row r="13" spans="1:17" ht="15">
      <c r="A13" s="12"/>
      <c r="B13" s="13"/>
      <c r="C13" s="13"/>
      <c r="D13" s="15"/>
      <c r="E13" s="15"/>
      <c r="F13" s="15"/>
      <c r="G13" s="15"/>
      <c r="H13" s="15"/>
      <c r="I13" s="16"/>
    </row>
    <row r="14" spans="1:17" ht="15">
      <c r="A14" s="171" t="s">
        <v>11</v>
      </c>
      <c r="B14" s="172"/>
      <c r="C14" s="172"/>
      <c r="D14" s="15"/>
      <c r="E14" s="15"/>
      <c r="F14" s="15"/>
      <c r="G14" s="15"/>
      <c r="H14" s="15"/>
      <c r="I14" s="16"/>
      <c r="M14" s="176"/>
      <c r="N14" s="176"/>
      <c r="O14" s="176"/>
      <c r="P14" s="176"/>
      <c r="Q14" s="176"/>
    </row>
    <row r="15" spans="1:17" ht="15">
      <c r="A15" s="12"/>
      <c r="B15" s="13"/>
      <c r="C15" s="13"/>
      <c r="D15" s="15"/>
      <c r="E15" s="15"/>
      <c r="F15" s="15"/>
      <c r="G15" s="15"/>
      <c r="H15" s="15"/>
      <c r="I15" s="16"/>
      <c r="M15" s="176"/>
      <c r="N15" s="176"/>
      <c r="O15" s="176"/>
      <c r="P15" s="176"/>
      <c r="Q15" s="176"/>
    </row>
    <row r="16" spans="1:17" ht="15">
      <c r="A16" s="171" t="s">
        <v>12</v>
      </c>
      <c r="B16" s="172"/>
      <c r="C16" s="172"/>
      <c r="D16" s="15"/>
      <c r="E16" s="15"/>
      <c r="F16" s="15"/>
      <c r="G16" s="15"/>
      <c r="H16" s="15"/>
      <c r="I16" s="16"/>
      <c r="M16" s="176"/>
      <c r="N16" s="176"/>
      <c r="O16" s="176"/>
      <c r="P16" s="176"/>
      <c r="Q16" s="176"/>
    </row>
    <row r="17" spans="1:18" ht="15">
      <c r="A17" s="12"/>
      <c r="B17" s="13"/>
      <c r="C17" s="13"/>
      <c r="D17" s="15"/>
      <c r="E17" s="15"/>
      <c r="F17" s="15"/>
      <c r="G17" s="15"/>
      <c r="H17" s="15"/>
      <c r="I17" s="16"/>
    </row>
    <row r="18" spans="1:18" s="5" customFormat="1" ht="15">
      <c r="A18" s="265" t="s">
        <v>130</v>
      </c>
      <c r="B18" s="265"/>
      <c r="C18" s="265"/>
      <c r="D18" s="265"/>
      <c r="E18" s="265"/>
      <c r="F18" s="265"/>
      <c r="G18" s="265"/>
      <c r="H18" s="263" t="str">
        <f>F5</f>
        <v>THASRA</v>
      </c>
      <c r="I18" s="264"/>
      <c r="J18" s="260"/>
      <c r="K18" s="261"/>
      <c r="L18" s="261"/>
      <c r="M18" s="261"/>
      <c r="N18" s="261"/>
      <c r="O18" s="261"/>
      <c r="P18" s="261"/>
      <c r="Q18" s="261"/>
      <c r="R18" s="262"/>
    </row>
    <row r="19" spans="1:18">
      <c r="A19" s="266" t="s">
        <v>131</v>
      </c>
      <c r="B19" s="267"/>
      <c r="C19" s="267"/>
      <c r="D19" s="267"/>
      <c r="E19" s="267"/>
      <c r="F19" s="267"/>
      <c r="G19" s="267"/>
      <c r="H19" s="267"/>
      <c r="I19" s="268"/>
    </row>
    <row r="20" spans="1:18" ht="47.25" customHeight="1">
      <c r="A20" s="200" t="s">
        <v>89</v>
      </c>
      <c r="B20" s="201"/>
      <c r="C20" s="186" t="s">
        <v>121</v>
      </c>
      <c r="D20" s="186"/>
      <c r="E20" s="186"/>
      <c r="F20" s="186"/>
      <c r="G20" s="186"/>
      <c r="H20" s="186"/>
      <c r="I20" s="187"/>
    </row>
    <row r="21" spans="1:18" ht="17.25" customHeight="1">
      <c r="A21" s="198" t="s">
        <v>13</v>
      </c>
      <c r="B21" s="199"/>
      <c r="C21" s="199"/>
      <c r="D21" s="199"/>
      <c r="E21" s="199"/>
      <c r="F21" s="199"/>
      <c r="G21" s="204">
        <v>100000</v>
      </c>
      <c r="H21" s="204"/>
      <c r="I21" s="17"/>
    </row>
    <row r="22" spans="1:18" ht="15">
      <c r="A22" s="18" t="s">
        <v>14</v>
      </c>
      <c r="B22" s="15"/>
      <c r="C22" s="15"/>
      <c r="D22" s="15"/>
      <c r="E22" s="15"/>
      <c r="F22" s="15"/>
      <c r="G22" s="15"/>
      <c r="H22" s="15"/>
      <c r="I22" s="16"/>
    </row>
    <row r="23" spans="1:18" ht="15">
      <c r="A23" s="18"/>
      <c r="B23" s="15"/>
      <c r="C23" s="15"/>
      <c r="D23" s="15" t="s">
        <v>15</v>
      </c>
      <c r="E23" s="15"/>
      <c r="F23" s="15"/>
      <c r="G23" s="15"/>
      <c r="H23" s="15"/>
      <c r="I23" s="16"/>
    </row>
    <row r="24" spans="1:18" ht="15">
      <c r="A24" s="18"/>
      <c r="B24" s="15"/>
      <c r="C24" s="15"/>
      <c r="D24" s="15"/>
      <c r="E24" s="15"/>
      <c r="F24" s="15"/>
      <c r="G24" s="15"/>
      <c r="H24" s="15"/>
      <c r="I24" s="16"/>
    </row>
    <row r="25" spans="1:18" ht="15">
      <c r="A25" s="18" t="s">
        <v>16</v>
      </c>
      <c r="B25" s="15"/>
      <c r="C25" s="15"/>
      <c r="D25" s="15"/>
      <c r="E25" s="15"/>
      <c r="F25" s="15"/>
      <c r="G25" s="15"/>
      <c r="H25" s="15"/>
      <c r="I25" s="16"/>
    </row>
    <row r="26" spans="1:18" ht="15">
      <c r="A26" s="18"/>
      <c r="B26" s="15"/>
      <c r="C26" s="15"/>
      <c r="D26" s="15" t="s">
        <v>17</v>
      </c>
      <c r="E26" s="15"/>
      <c r="F26" s="15"/>
      <c r="G26" s="15"/>
      <c r="H26" s="15"/>
      <c r="I26" s="16"/>
    </row>
    <row r="27" spans="1:18" ht="17.399999999999999">
      <c r="A27" s="18" t="s">
        <v>26</v>
      </c>
      <c r="B27" s="15"/>
      <c r="C27" s="19" t="s">
        <v>27</v>
      </c>
      <c r="D27" s="188" t="s">
        <v>132</v>
      </c>
      <c r="E27" s="188"/>
      <c r="F27" s="188"/>
      <c r="G27" s="188"/>
      <c r="H27" s="188"/>
      <c r="I27" s="189"/>
      <c r="J27" s="192"/>
      <c r="K27" s="192"/>
      <c r="L27" s="192"/>
      <c r="M27" s="192"/>
      <c r="N27" s="192"/>
      <c r="O27" s="193"/>
    </row>
    <row r="28" spans="1:18" ht="17.399999999999999">
      <c r="A28" s="18"/>
      <c r="B28" s="15"/>
      <c r="C28" s="15"/>
      <c r="D28" s="20"/>
      <c r="E28" s="20"/>
      <c r="F28" s="20"/>
      <c r="G28" s="20"/>
      <c r="H28" s="20"/>
      <c r="I28" s="21"/>
      <c r="J28" s="192"/>
      <c r="K28" s="192"/>
      <c r="L28" s="192"/>
      <c r="M28" s="192"/>
      <c r="N28" s="192"/>
      <c r="O28" s="193"/>
    </row>
    <row r="29" spans="1:18" ht="17.399999999999999">
      <c r="A29" s="18" t="s">
        <v>0</v>
      </c>
      <c r="B29" s="15"/>
      <c r="C29" s="15" t="str">
        <f>C27</f>
        <v>:</v>
      </c>
      <c r="D29" s="188" t="str">
        <f>D27</f>
        <v>Shree V.A.Thakor. A.A.E.</v>
      </c>
      <c r="E29" s="188"/>
      <c r="F29" s="188"/>
      <c r="G29" s="188"/>
      <c r="H29" s="188"/>
      <c r="I29" s="189"/>
    </row>
    <row r="30" spans="1:18" ht="15">
      <c r="A30" s="18"/>
      <c r="B30" s="15"/>
      <c r="C30" s="15"/>
      <c r="D30" s="15"/>
      <c r="E30" s="15"/>
      <c r="F30" s="15"/>
      <c r="G30" s="15"/>
      <c r="H30" s="15"/>
      <c r="I30" s="16"/>
    </row>
    <row r="31" spans="1:18" ht="15">
      <c r="A31" s="18" t="s">
        <v>18</v>
      </c>
      <c r="B31" s="15"/>
      <c r="C31" s="15"/>
      <c r="D31" s="183"/>
      <c r="E31" s="183"/>
      <c r="F31" s="183"/>
      <c r="G31" s="183"/>
      <c r="H31" s="183"/>
      <c r="I31" s="184"/>
    </row>
    <row r="32" spans="1:18" ht="15">
      <c r="A32" s="18"/>
      <c r="B32" s="15"/>
      <c r="C32" s="15"/>
      <c r="D32" s="15"/>
      <c r="E32" s="15"/>
      <c r="F32" s="15"/>
      <c r="G32" s="15"/>
      <c r="H32" s="15"/>
      <c r="I32" s="16"/>
    </row>
    <row r="33" spans="1:22" ht="21.75" customHeight="1">
      <c r="A33" s="177" t="s">
        <v>88</v>
      </c>
      <c r="B33" s="178"/>
      <c r="C33" s="178"/>
      <c r="D33" s="178"/>
      <c r="E33" s="178"/>
      <c r="F33" s="178"/>
      <c r="G33" s="178"/>
      <c r="H33" s="178"/>
      <c r="I33" s="179"/>
    </row>
    <row r="34" spans="1:22" ht="41.25" customHeight="1">
      <c r="A34" s="22" t="s">
        <v>86</v>
      </c>
      <c r="B34" s="10">
        <v>18</v>
      </c>
      <c r="C34" s="190" t="s">
        <v>120</v>
      </c>
      <c r="D34" s="190"/>
      <c r="E34" s="190"/>
      <c r="F34" s="190"/>
      <c r="G34" s="190"/>
      <c r="H34" s="190"/>
      <c r="I34" s="191"/>
      <c r="J34" s="6"/>
    </row>
    <row r="35" spans="1:22" ht="70.2" customHeight="1">
      <c r="A35" s="180" t="s">
        <v>112</v>
      </c>
      <c r="B35" s="181"/>
      <c r="C35" s="181"/>
      <c r="D35" s="181"/>
      <c r="E35" s="181"/>
      <c r="F35" s="181"/>
      <c r="G35" s="181"/>
      <c r="H35" s="181"/>
      <c r="I35" s="182"/>
      <c r="K35" s="185" t="s">
        <v>60</v>
      </c>
      <c r="L35" s="185"/>
      <c r="M35" s="185"/>
      <c r="N35" s="185"/>
      <c r="O35" s="185"/>
      <c r="P35" s="185"/>
      <c r="Q35" s="185"/>
      <c r="R35" s="7"/>
      <c r="S35" s="7"/>
      <c r="T35" s="7"/>
      <c r="U35" s="7"/>
      <c r="V35" s="7"/>
    </row>
    <row r="36" spans="1:22" ht="15">
      <c r="A36" s="18"/>
      <c r="B36" s="15"/>
      <c r="C36" s="15"/>
      <c r="D36" s="15"/>
      <c r="E36" s="15"/>
      <c r="F36" s="15"/>
      <c r="G36" s="15"/>
      <c r="H36" s="15"/>
      <c r="I36" s="16"/>
      <c r="K36" s="185"/>
      <c r="L36" s="185"/>
      <c r="M36" s="185"/>
      <c r="N36" s="185"/>
      <c r="O36" s="185"/>
      <c r="P36" s="185"/>
      <c r="Q36" s="185"/>
      <c r="R36" s="7"/>
      <c r="S36" s="7"/>
      <c r="T36" s="7"/>
      <c r="U36" s="7"/>
      <c r="V36" s="7"/>
    </row>
    <row r="37" spans="1:22" ht="15" customHeight="1">
      <c r="A37" s="23"/>
      <c r="B37" s="24"/>
      <c r="C37" s="24"/>
      <c r="D37" s="15"/>
      <c r="E37" s="15"/>
      <c r="F37" s="25"/>
      <c r="G37" s="25"/>
      <c r="H37" s="25"/>
      <c r="I37" s="26"/>
      <c r="K37" s="185"/>
      <c r="L37" s="185"/>
      <c r="M37" s="185"/>
      <c r="N37" s="185"/>
      <c r="O37" s="185"/>
      <c r="P37" s="185"/>
      <c r="Q37" s="185"/>
      <c r="R37" s="7"/>
      <c r="S37" s="7"/>
      <c r="T37" s="7"/>
      <c r="U37" s="7"/>
      <c r="V37" s="7"/>
    </row>
    <row r="38" spans="1:22" ht="15" customHeight="1">
      <c r="A38" s="23"/>
      <c r="B38" s="24"/>
      <c r="C38" s="24"/>
      <c r="D38" s="15"/>
      <c r="E38" s="15"/>
      <c r="F38" s="175" t="s">
        <v>87</v>
      </c>
      <c r="G38" s="175"/>
      <c r="H38" s="175"/>
      <c r="I38" s="26"/>
    </row>
    <row r="39" spans="1:22" ht="15.6">
      <c r="A39" s="23"/>
      <c r="B39" s="24"/>
      <c r="C39" s="24"/>
      <c r="D39" s="15"/>
      <c r="E39" s="15"/>
      <c r="F39" s="25"/>
      <c r="G39" s="27" t="s">
        <v>82</v>
      </c>
      <c r="H39" s="25"/>
      <c r="I39" s="26"/>
    </row>
    <row r="40" spans="1:22" ht="16.2" thickBot="1">
      <c r="A40" s="28"/>
      <c r="B40" s="29"/>
      <c r="C40" s="29"/>
      <c r="D40" s="29"/>
      <c r="E40" s="29"/>
      <c r="F40" s="29"/>
      <c r="G40" s="269" t="str">
        <f>H18</f>
        <v>THASRA</v>
      </c>
      <c r="H40" s="29"/>
      <c r="I40" s="30"/>
    </row>
    <row r="41" spans="1:22">
      <c r="A41" s="8"/>
      <c r="B41" s="8"/>
      <c r="C41" s="8"/>
      <c r="D41" s="8"/>
      <c r="E41" s="8"/>
      <c r="F41" s="8"/>
      <c r="G41" s="8"/>
      <c r="H41" s="8"/>
      <c r="I41" s="8"/>
    </row>
  </sheetData>
  <mergeCells count="33">
    <mergeCell ref="D27:I27"/>
    <mergeCell ref="J2:O2"/>
    <mergeCell ref="A14:C14"/>
    <mergeCell ref="D8:I9"/>
    <mergeCell ref="A21:F21"/>
    <mergeCell ref="A20:B20"/>
    <mergeCell ref="J4:O4"/>
    <mergeCell ref="G21:H21"/>
    <mergeCell ref="A18:G18"/>
    <mergeCell ref="H18:I18"/>
    <mergeCell ref="F38:H38"/>
    <mergeCell ref="M16:Q16"/>
    <mergeCell ref="M14:Q14"/>
    <mergeCell ref="A33:I33"/>
    <mergeCell ref="A35:I35"/>
    <mergeCell ref="A16:C16"/>
    <mergeCell ref="D31:I31"/>
    <mergeCell ref="M15:Q15"/>
    <mergeCell ref="K35:Q37"/>
    <mergeCell ref="C20:I20"/>
    <mergeCell ref="A19:I19"/>
    <mergeCell ref="J18:R18"/>
    <mergeCell ref="D29:I29"/>
    <mergeCell ref="C34:I34"/>
    <mergeCell ref="J28:O28"/>
    <mergeCell ref="J27:O27"/>
    <mergeCell ref="A1:I1"/>
    <mergeCell ref="A2:C2"/>
    <mergeCell ref="A8:C8"/>
    <mergeCell ref="A10:C10"/>
    <mergeCell ref="A12:C12"/>
    <mergeCell ref="A4:C4"/>
    <mergeCell ref="A6:C6"/>
  </mergeCells>
  <phoneticPr fontId="0" type="noConversion"/>
  <printOptions horizontalCentered="1"/>
  <pageMargins left="0.39370078740157483" right="0.39370078740157483" top="0.59055118110236227" bottom="0.39370078740157483" header="0.51181102362204722" footer="0.51181102362204722"/>
  <pageSetup paperSize="9" scale="98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64"/>
  <sheetViews>
    <sheetView tabSelected="1" view="pageBreakPreview" topLeftCell="A18" zoomScale="90" zoomScaleNormal="100" zoomScaleSheetLayoutView="90" workbookViewId="0">
      <selection activeCell="F25" sqref="F25"/>
    </sheetView>
  </sheetViews>
  <sheetFormatPr defaultColWidth="9.109375" defaultRowHeight="15.6"/>
  <cols>
    <col min="1" max="1" width="11.6640625" style="74" customWidth="1"/>
    <col min="2" max="2" width="9.21875" style="74" customWidth="1"/>
    <col min="3" max="3" width="56.5546875" style="32" customWidth="1"/>
    <col min="4" max="4" width="11.33203125" style="74" customWidth="1"/>
    <col min="5" max="5" width="6.33203125" style="32" bestFit="1" customWidth="1"/>
    <col min="6" max="6" width="14.6640625" style="74" bestFit="1" customWidth="1"/>
    <col min="7" max="7" width="14.33203125" style="32" hidden="1" customWidth="1"/>
    <col min="8" max="9" width="9.109375" style="32"/>
    <col min="10" max="10" width="12.88671875" style="32" bestFit="1" customWidth="1"/>
    <col min="11" max="11" width="9.109375" style="32"/>
    <col min="12" max="12" width="12.6640625" style="32" bestFit="1" customWidth="1"/>
    <col min="13" max="16" width="9.109375" style="32"/>
    <col min="17" max="17" width="9.5546875" style="32" bestFit="1" customWidth="1"/>
    <col min="18" max="16384" width="9.109375" style="32"/>
  </cols>
  <sheetData>
    <row r="1" spans="1:17" ht="37.200000000000003" customHeight="1" thickBot="1">
      <c r="A1" s="168" t="s">
        <v>61</v>
      </c>
      <c r="B1" s="169"/>
      <c r="C1" s="169"/>
      <c r="D1" s="169"/>
      <c r="E1" s="169"/>
      <c r="F1" s="170"/>
      <c r="G1" s="31"/>
      <c r="H1" s="31"/>
      <c r="I1" s="31"/>
    </row>
    <row r="2" spans="1:17" ht="48.6" customHeight="1" thickBot="1">
      <c r="A2" s="217" t="str">
        <f>Estimate!A20</f>
        <v xml:space="preserve">કામ નું નામ :- </v>
      </c>
      <c r="B2" s="218"/>
      <c r="C2" s="219" t="str">
        <f>Estimate!C20</f>
        <v xml:space="preserve">ગોળજ તાબે ચોથીયાની મુવાડી મહેશભાઈ બાલાભાઈના ફળિયામાં પેવર બ્લોકનું કામ. </v>
      </c>
      <c r="D2" s="220"/>
      <c r="E2" s="220"/>
      <c r="F2" s="221"/>
    </row>
    <row r="3" spans="1:17" s="37" customFormat="1" ht="55.2">
      <c r="A3" s="33" t="s">
        <v>1</v>
      </c>
      <c r="B3" s="34" t="s">
        <v>45</v>
      </c>
      <c r="C3" s="34" t="s">
        <v>2</v>
      </c>
      <c r="D3" s="34" t="s">
        <v>52</v>
      </c>
      <c r="E3" s="34" t="s">
        <v>3</v>
      </c>
      <c r="F3" s="35" t="s">
        <v>4</v>
      </c>
      <c r="G3" s="36"/>
    </row>
    <row r="4" spans="1:17" s="40" customFormat="1" ht="62.4" customHeight="1">
      <c r="A4" s="208">
        <f>Measurement!K7</f>
        <v>21</v>
      </c>
      <c r="B4" s="214" t="str">
        <f>Measurement!L7</f>
        <v>Cmt</v>
      </c>
      <c r="C4" s="38" t="s">
        <v>117</v>
      </c>
      <c r="D4" s="39">
        <f>103.17+51.84</f>
        <v>155.01</v>
      </c>
      <c r="E4" s="206" t="str">
        <f>B4</f>
        <v>Cmt</v>
      </c>
      <c r="F4" s="207">
        <f>TRUNC((D5*A4),2)</f>
        <v>3287.76</v>
      </c>
      <c r="I4" s="41">
        <v>1</v>
      </c>
      <c r="J4" s="42">
        <f>A4</f>
        <v>21</v>
      </c>
      <c r="K4" s="40">
        <v>104.2</v>
      </c>
      <c r="L4" s="40">
        <f>J4*K4</f>
        <v>2188.2000000000003</v>
      </c>
      <c r="O4" s="40">
        <v>103.17</v>
      </c>
      <c r="P4" s="40">
        <f>O4*1%</f>
        <v>1.0317000000000001</v>
      </c>
      <c r="Q4" s="40">
        <f>O4+P4</f>
        <v>104.2017</v>
      </c>
    </row>
    <row r="5" spans="1:17" s="40" customFormat="1" ht="30">
      <c r="A5" s="208"/>
      <c r="B5" s="214"/>
      <c r="C5" s="43" t="s">
        <v>118</v>
      </c>
      <c r="D5" s="39">
        <f>TRUNC((D4*1.01),2)</f>
        <v>156.56</v>
      </c>
      <c r="E5" s="206"/>
      <c r="F5" s="207"/>
      <c r="I5" s="41">
        <v>2</v>
      </c>
      <c r="J5" s="42">
        <f>A12</f>
        <v>105</v>
      </c>
      <c r="K5" s="40">
        <v>686.9</v>
      </c>
      <c r="L5" s="40">
        <f>J5*K5</f>
        <v>72124.5</v>
      </c>
      <c r="O5" s="40">
        <v>51.84</v>
      </c>
      <c r="P5" s="40">
        <f>O5*1%</f>
        <v>0.51840000000000008</v>
      </c>
      <c r="Q5" s="40">
        <f>O5+P5</f>
        <v>52.358400000000003</v>
      </c>
    </row>
    <row r="6" spans="1:17" s="40" customFormat="1" ht="49.95" customHeight="1">
      <c r="A6" s="208">
        <f>Measurement!K10</f>
        <v>10.5</v>
      </c>
      <c r="B6" s="214" t="s">
        <v>41</v>
      </c>
      <c r="C6" s="38" t="s">
        <v>66</v>
      </c>
      <c r="D6" s="39">
        <f>Lead!I20</f>
        <v>208.34</v>
      </c>
      <c r="E6" s="206" t="str">
        <f>B6</f>
        <v>Cum</v>
      </c>
      <c r="F6" s="207">
        <f>TRUNC((D7*A6),2)</f>
        <v>2209.41</v>
      </c>
      <c r="I6" s="40">
        <v>3</v>
      </c>
      <c r="J6" s="42">
        <f>Measurement!N24</f>
        <v>2.0500000000000003</v>
      </c>
      <c r="K6" s="40">
        <v>3996.68</v>
      </c>
      <c r="L6" s="40">
        <f>J6*K6</f>
        <v>8193.1940000000013</v>
      </c>
      <c r="Q6" s="40">
        <f>Q4+Q5</f>
        <v>156.56010000000001</v>
      </c>
    </row>
    <row r="7" spans="1:17" s="40" customFormat="1">
      <c r="A7" s="208"/>
      <c r="B7" s="214"/>
      <c r="C7" s="43" t="s">
        <v>64</v>
      </c>
      <c r="D7" s="39">
        <f>TRUNC((D6*1.01),2)</f>
        <v>210.42</v>
      </c>
      <c r="E7" s="206"/>
      <c r="F7" s="207"/>
      <c r="I7" s="40">
        <v>4</v>
      </c>
      <c r="J7" s="42">
        <f>A20</f>
        <v>1</v>
      </c>
      <c r="K7" s="40">
        <v>312.85000000000002</v>
      </c>
      <c r="L7" s="40">
        <f>J7*K7</f>
        <v>312.85000000000002</v>
      </c>
    </row>
    <row r="8" spans="1:17" s="40" customFormat="1" ht="50.4" hidden="1" customHeight="1">
      <c r="A8" s="208">
        <v>0</v>
      </c>
      <c r="B8" s="214" t="s">
        <v>41</v>
      </c>
      <c r="C8" s="38" t="s">
        <v>65</v>
      </c>
      <c r="D8" s="39">
        <v>97.34</v>
      </c>
      <c r="E8" s="206" t="str">
        <f>B8</f>
        <v>Cum</v>
      </c>
      <c r="F8" s="207">
        <f>TRUNC((D9*A8),2)</f>
        <v>0</v>
      </c>
    </row>
    <row r="9" spans="1:17" s="40" customFormat="1" hidden="1">
      <c r="A9" s="208"/>
      <c r="B9" s="214"/>
      <c r="C9" s="43" t="s">
        <v>62</v>
      </c>
      <c r="D9" s="39">
        <f>TRUNC((D8*1.01),2)</f>
        <v>98.31</v>
      </c>
      <c r="E9" s="206"/>
      <c r="F9" s="207"/>
    </row>
    <row r="10" spans="1:17" s="40" customFormat="1" ht="96.6" hidden="1" customHeight="1">
      <c r="A10" s="208">
        <v>0</v>
      </c>
      <c r="B10" s="214" t="s">
        <v>44</v>
      </c>
      <c r="C10" s="38" t="s">
        <v>67</v>
      </c>
      <c r="D10" s="39">
        <v>17.75</v>
      </c>
      <c r="E10" s="206" t="str">
        <f>B10</f>
        <v>Smt</v>
      </c>
      <c r="F10" s="207">
        <f>TRUNC((D11*A10),2)</f>
        <v>0</v>
      </c>
    </row>
    <row r="11" spans="1:17" s="40" customFormat="1" hidden="1">
      <c r="A11" s="208"/>
      <c r="B11" s="214"/>
      <c r="C11" s="43" t="s">
        <v>63</v>
      </c>
      <c r="D11" s="39">
        <f>TRUNC((D10*1.01),2)</f>
        <v>17.920000000000002</v>
      </c>
      <c r="E11" s="206"/>
      <c r="F11" s="207"/>
    </row>
    <row r="12" spans="1:17" s="40" customFormat="1" ht="114.6" customHeight="1">
      <c r="A12" s="208">
        <f>Measurement!K19</f>
        <v>105</v>
      </c>
      <c r="B12" s="214" t="s">
        <v>44</v>
      </c>
      <c r="C12" s="38" t="s">
        <v>76</v>
      </c>
      <c r="D12" s="39">
        <v>733.18</v>
      </c>
      <c r="E12" s="206" t="s">
        <v>44</v>
      </c>
      <c r="F12" s="207">
        <f>TRUNC((D13*A12),2)</f>
        <v>77753.55</v>
      </c>
      <c r="I12" s="40">
        <v>5</v>
      </c>
      <c r="J12" s="42">
        <f>A20</f>
        <v>1</v>
      </c>
      <c r="K12" s="40">
        <v>608</v>
      </c>
      <c r="L12" s="40">
        <f>J12*K12</f>
        <v>608</v>
      </c>
    </row>
    <row r="13" spans="1:17" s="40" customFormat="1">
      <c r="A13" s="208"/>
      <c r="B13" s="214"/>
      <c r="C13" s="43" t="s">
        <v>90</v>
      </c>
      <c r="D13" s="39">
        <f>TRUNC((D12*1.01),2)</f>
        <v>740.51</v>
      </c>
      <c r="E13" s="206"/>
      <c r="F13" s="207"/>
      <c r="L13" s="40">
        <f>SUM(L4:L12)</f>
        <v>83426.744000000006</v>
      </c>
    </row>
    <row r="14" spans="1:17" s="40" customFormat="1" ht="51.6" customHeight="1">
      <c r="A14" s="208">
        <f>Measurement!K24</f>
        <v>41</v>
      </c>
      <c r="B14" s="222" t="s">
        <v>39</v>
      </c>
      <c r="C14" s="38" t="s">
        <v>77</v>
      </c>
      <c r="D14" s="39">
        <v>23.45</v>
      </c>
      <c r="E14" s="206" t="str">
        <f>B14</f>
        <v>Rmt</v>
      </c>
      <c r="F14" s="207">
        <f>TRUNC((D15*A14),2)</f>
        <v>970.88</v>
      </c>
      <c r="L14" s="40">
        <v>3595.15</v>
      </c>
    </row>
    <row r="15" spans="1:17" s="40" customFormat="1">
      <c r="A15" s="208"/>
      <c r="B15" s="223"/>
      <c r="C15" s="43" t="s">
        <v>91</v>
      </c>
      <c r="D15" s="39">
        <f>TRUNC((D14*1.01),2)</f>
        <v>23.68</v>
      </c>
      <c r="E15" s="206"/>
      <c r="F15" s="207"/>
      <c r="L15" s="40">
        <f>L13-L14</f>
        <v>79831.594000000012</v>
      </c>
    </row>
    <row r="16" spans="1:17" s="41" customFormat="1" ht="52.95" hidden="1" customHeight="1">
      <c r="A16" s="208">
        <v>0</v>
      </c>
      <c r="B16" s="222" t="s">
        <v>41</v>
      </c>
      <c r="C16" s="38" t="s">
        <v>69</v>
      </c>
      <c r="D16" s="39">
        <v>133.15</v>
      </c>
      <c r="E16" s="206" t="str">
        <f>B16</f>
        <v>Cum</v>
      </c>
      <c r="F16" s="215">
        <f>TRUNC((D17*A16),2)</f>
        <v>0</v>
      </c>
    </row>
    <row r="17" spans="1:12" s="41" customFormat="1" hidden="1">
      <c r="A17" s="208"/>
      <c r="B17" s="223"/>
      <c r="C17" s="43" t="s">
        <v>70</v>
      </c>
      <c r="D17" s="39">
        <f>TRUNC((D16*1.01),2)</f>
        <v>134.47999999999999</v>
      </c>
      <c r="E17" s="206"/>
      <c r="F17" s="216"/>
    </row>
    <row r="18" spans="1:12" s="41" customFormat="1" ht="45">
      <c r="A18" s="208">
        <v>1</v>
      </c>
      <c r="B18" s="222" t="s">
        <v>96</v>
      </c>
      <c r="C18" s="38" t="s">
        <v>94</v>
      </c>
      <c r="D18" s="39">
        <f>Lead!G41</f>
        <v>608</v>
      </c>
      <c r="E18" s="206" t="str">
        <f>B18</f>
        <v>Job</v>
      </c>
      <c r="F18" s="207">
        <f>TRUNC((D19*A18),2)</f>
        <v>608</v>
      </c>
    </row>
    <row r="19" spans="1:12" s="41" customFormat="1">
      <c r="A19" s="208"/>
      <c r="B19" s="223"/>
      <c r="C19" s="43" t="s">
        <v>95</v>
      </c>
      <c r="D19" s="39">
        <f>D18</f>
        <v>608</v>
      </c>
      <c r="E19" s="206"/>
      <c r="F19" s="207"/>
    </row>
    <row r="20" spans="1:12" s="40" customFormat="1" ht="53.4" customHeight="1">
      <c r="A20" s="208">
        <v>1</v>
      </c>
      <c r="B20" s="214" t="s">
        <v>46</v>
      </c>
      <c r="C20" s="38" t="s">
        <v>93</v>
      </c>
      <c r="D20" s="39">
        <v>303.11</v>
      </c>
      <c r="E20" s="206" t="str">
        <f>B20</f>
        <v>No</v>
      </c>
      <c r="F20" s="207">
        <f>TRUNC((D21*A20),2)</f>
        <v>306.14</v>
      </c>
      <c r="L20" s="40">
        <v>149048</v>
      </c>
    </row>
    <row r="21" spans="1:12" s="40" customFormat="1">
      <c r="A21" s="208"/>
      <c r="B21" s="214"/>
      <c r="C21" s="43" t="s">
        <v>92</v>
      </c>
      <c r="D21" s="39">
        <f>TRUNC((D20*1.01),2)</f>
        <v>306.14</v>
      </c>
      <c r="E21" s="206"/>
      <c r="F21" s="207"/>
      <c r="L21" s="40">
        <f>L15-L20</f>
        <v>-69216.405999999988</v>
      </c>
    </row>
    <row r="22" spans="1:12" s="44" customFormat="1" ht="21" customHeight="1">
      <c r="A22" s="211" t="s">
        <v>25</v>
      </c>
      <c r="B22" s="212"/>
      <c r="C22" s="212"/>
      <c r="D22" s="212"/>
      <c r="E22" s="212"/>
      <c r="F22" s="75">
        <f>SUM(F4:F21)</f>
        <v>85135.74</v>
      </c>
    </row>
    <row r="23" spans="1:12" s="44" customFormat="1" ht="21" customHeight="1">
      <c r="A23" s="211" t="s">
        <v>113</v>
      </c>
      <c r="B23" s="212"/>
      <c r="C23" s="212"/>
      <c r="D23" s="212"/>
      <c r="E23" s="212"/>
      <c r="F23" s="76">
        <f>F22*18%</f>
        <v>15324.433199999999</v>
      </c>
    </row>
    <row r="24" spans="1:12" s="44" customFormat="1" ht="21" customHeight="1">
      <c r="A24" s="211" t="s">
        <v>25</v>
      </c>
      <c r="B24" s="212"/>
      <c r="C24" s="212"/>
      <c r="D24" s="212"/>
      <c r="E24" s="212"/>
      <c r="F24" s="75">
        <f>F22+F23</f>
        <v>100460.1732</v>
      </c>
    </row>
    <row r="25" spans="1:12" s="44" customFormat="1" ht="21" customHeight="1">
      <c r="A25" s="211" t="s">
        <v>32</v>
      </c>
      <c r="B25" s="212"/>
      <c r="C25" s="212"/>
      <c r="D25" s="212"/>
      <c r="E25" s="212"/>
      <c r="F25" s="76">
        <f>Estimate!G21</f>
        <v>100000</v>
      </c>
    </row>
    <row r="26" spans="1:12" s="49" customFormat="1" ht="15.6" customHeight="1">
      <c r="A26" s="209" t="s">
        <v>78</v>
      </c>
      <c r="B26" s="210"/>
      <c r="C26" s="45"/>
      <c r="D26" s="46"/>
      <c r="E26" s="47"/>
      <c r="F26" s="48"/>
    </row>
    <row r="27" spans="1:12" s="49" customFormat="1" ht="15.6" customHeight="1">
      <c r="A27" s="272" t="s">
        <v>133</v>
      </c>
      <c r="B27" s="273"/>
      <c r="C27" s="50"/>
      <c r="D27" s="51"/>
      <c r="E27" s="51"/>
      <c r="F27" s="52"/>
      <c r="G27" s="53"/>
      <c r="H27" s="53"/>
    </row>
    <row r="28" spans="1:12" s="49" customFormat="1">
      <c r="A28" s="274" t="str">
        <f>Estimate!G40</f>
        <v>THASRA</v>
      </c>
      <c r="B28" s="275"/>
      <c r="C28" s="50"/>
      <c r="D28" s="51"/>
      <c r="E28" s="51"/>
      <c r="F28" s="52"/>
      <c r="G28" s="205"/>
      <c r="H28" s="205"/>
    </row>
    <row r="29" spans="1:12" s="49" customFormat="1" ht="16.2" customHeight="1" thickBot="1">
      <c r="A29" s="270"/>
      <c r="B29" s="271"/>
      <c r="C29" s="54"/>
      <c r="D29" s="55"/>
      <c r="E29" s="55"/>
      <c r="F29" s="56"/>
      <c r="G29" s="205"/>
      <c r="H29" s="205"/>
    </row>
    <row r="30" spans="1:12" s="49" customFormat="1" ht="17.399999999999999">
      <c r="A30" s="57"/>
      <c r="B30" s="57"/>
      <c r="C30" s="58"/>
      <c r="D30" s="59"/>
      <c r="E30" s="58"/>
      <c r="F30" s="60"/>
      <c r="G30" s="61"/>
      <c r="H30" s="32"/>
    </row>
    <row r="31" spans="1:12" s="49" customFormat="1">
      <c r="A31" s="57"/>
      <c r="B31" s="57"/>
      <c r="C31" s="62"/>
      <c r="D31" s="63"/>
      <c r="E31" s="64"/>
      <c r="F31" s="65"/>
    </row>
    <row r="32" spans="1:12" s="49" customFormat="1">
      <c r="A32" s="57"/>
      <c r="B32" s="57"/>
      <c r="C32" s="62"/>
      <c r="D32" s="63"/>
      <c r="E32" s="64"/>
      <c r="F32" s="65"/>
    </row>
    <row r="33" spans="1:6" s="49" customFormat="1">
      <c r="A33" s="57"/>
      <c r="B33" s="57"/>
      <c r="C33" s="62"/>
      <c r="D33" s="213"/>
      <c r="E33" s="213"/>
      <c r="F33" s="213"/>
    </row>
    <row r="34" spans="1:6" s="49" customFormat="1">
      <c r="A34" s="57"/>
      <c r="B34" s="57"/>
      <c r="C34" s="62"/>
      <c r="D34" s="63"/>
      <c r="E34" s="66"/>
      <c r="F34" s="63"/>
    </row>
    <row r="35" spans="1:6" s="49" customFormat="1">
      <c r="A35" s="57"/>
      <c r="B35" s="57"/>
      <c r="C35" s="62"/>
      <c r="D35" s="63"/>
      <c r="E35" s="66"/>
      <c r="F35" s="63"/>
    </row>
    <row r="36" spans="1:6" s="49" customFormat="1">
      <c r="A36" s="57"/>
      <c r="B36" s="57"/>
      <c r="C36" s="62"/>
      <c r="D36" s="63"/>
      <c r="E36" s="66"/>
      <c r="F36" s="63"/>
    </row>
    <row r="37" spans="1:6" s="49" customFormat="1">
      <c r="A37" s="57"/>
      <c r="B37" s="57"/>
      <c r="C37" s="62"/>
      <c r="D37" s="63"/>
      <c r="E37" s="66"/>
      <c r="F37" s="63"/>
    </row>
    <row r="38" spans="1:6" s="49" customFormat="1">
      <c r="A38" s="57"/>
      <c r="B38" s="57"/>
      <c r="C38" s="62"/>
      <c r="D38" s="63"/>
      <c r="E38" s="66"/>
      <c r="F38" s="63"/>
    </row>
    <row r="39" spans="1:6" s="49" customFormat="1">
      <c r="A39" s="57"/>
      <c r="B39" s="57"/>
      <c r="C39" s="62"/>
      <c r="D39" s="63"/>
      <c r="E39" s="66"/>
      <c r="F39" s="63"/>
    </row>
    <row r="40" spans="1:6" s="49" customFormat="1">
      <c r="A40" s="57"/>
      <c r="B40" s="57"/>
      <c r="C40" s="62"/>
      <c r="D40" s="63"/>
      <c r="E40" s="66"/>
      <c r="F40" s="63"/>
    </row>
    <row r="41" spans="1:6" s="49" customFormat="1">
      <c r="A41" s="57"/>
      <c r="B41" s="57"/>
      <c r="C41" s="62"/>
      <c r="D41" s="63"/>
      <c r="E41" s="66"/>
      <c r="F41" s="63"/>
    </row>
    <row r="42" spans="1:6" s="49" customFormat="1">
      <c r="A42" s="57"/>
      <c r="B42" s="57"/>
      <c r="C42" s="62"/>
      <c r="D42" s="63"/>
      <c r="E42" s="66"/>
      <c r="F42" s="63"/>
    </row>
    <row r="43" spans="1:6" s="49" customFormat="1">
      <c r="A43" s="57"/>
      <c r="B43" s="57"/>
      <c r="C43" s="62"/>
      <c r="D43" s="63"/>
      <c r="E43" s="66"/>
      <c r="F43" s="63"/>
    </row>
    <row r="44" spans="1:6">
      <c r="A44" s="67"/>
      <c r="B44" s="67"/>
      <c r="C44" s="58"/>
      <c r="D44" s="68"/>
      <c r="E44" s="69"/>
      <c r="F44" s="68"/>
    </row>
    <row r="45" spans="1:6">
      <c r="A45" s="67"/>
      <c r="B45" s="67"/>
      <c r="C45" s="58"/>
      <c r="D45" s="68"/>
      <c r="E45" s="69"/>
      <c r="F45" s="68"/>
    </row>
    <row r="46" spans="1:6">
      <c r="A46" s="67"/>
      <c r="B46" s="67"/>
      <c r="C46" s="58"/>
      <c r="D46" s="68"/>
      <c r="E46" s="69"/>
      <c r="F46" s="68"/>
    </row>
    <row r="47" spans="1:6">
      <c r="A47" s="67"/>
      <c r="B47" s="67"/>
      <c r="C47" s="58"/>
      <c r="D47" s="68"/>
      <c r="E47" s="69"/>
      <c r="F47" s="68"/>
    </row>
    <row r="48" spans="1:6">
      <c r="A48" s="67"/>
      <c r="B48" s="67"/>
      <c r="C48" s="58"/>
      <c r="D48" s="68"/>
      <c r="E48" s="69"/>
      <c r="F48" s="68"/>
    </row>
    <row r="49" spans="1:6">
      <c r="A49" s="67"/>
      <c r="B49" s="67"/>
      <c r="C49" s="58"/>
      <c r="D49" s="68"/>
      <c r="E49" s="69"/>
      <c r="F49" s="68"/>
    </row>
    <row r="50" spans="1:6">
      <c r="A50" s="70"/>
      <c r="B50" s="70"/>
      <c r="D50" s="71"/>
      <c r="E50" s="72"/>
      <c r="F50" s="71"/>
    </row>
    <row r="51" spans="1:6">
      <c r="A51" s="70"/>
      <c r="B51" s="70"/>
      <c r="D51" s="71"/>
      <c r="E51" s="72"/>
      <c r="F51" s="71"/>
    </row>
    <row r="52" spans="1:6">
      <c r="A52" s="70"/>
      <c r="B52" s="70"/>
      <c r="D52" s="71"/>
      <c r="E52" s="72"/>
      <c r="F52" s="71"/>
    </row>
    <row r="53" spans="1:6">
      <c r="A53" s="70"/>
      <c r="B53" s="70"/>
      <c r="D53" s="71"/>
      <c r="E53" s="72"/>
      <c r="F53" s="71"/>
    </row>
    <row r="54" spans="1:6">
      <c r="A54" s="70"/>
      <c r="B54" s="70"/>
      <c r="D54" s="71"/>
      <c r="E54" s="72"/>
      <c r="F54" s="71"/>
    </row>
    <row r="55" spans="1:6">
      <c r="A55" s="70"/>
      <c r="B55" s="70"/>
      <c r="D55" s="71"/>
      <c r="E55" s="72"/>
      <c r="F55" s="71"/>
    </row>
    <row r="56" spans="1:6">
      <c r="A56" s="70"/>
      <c r="B56" s="70"/>
      <c r="D56" s="71"/>
      <c r="E56" s="72"/>
      <c r="F56" s="71"/>
    </row>
    <row r="57" spans="1:6">
      <c r="A57" s="70"/>
      <c r="B57" s="70"/>
      <c r="D57" s="71"/>
      <c r="E57" s="72"/>
      <c r="F57" s="71"/>
    </row>
    <row r="58" spans="1:6">
      <c r="A58" s="70"/>
      <c r="B58" s="70"/>
      <c r="D58" s="71"/>
      <c r="E58" s="72"/>
      <c r="F58" s="71"/>
    </row>
    <row r="59" spans="1:6">
      <c r="A59" s="70"/>
      <c r="B59" s="70"/>
      <c r="D59" s="71"/>
      <c r="E59" s="72"/>
      <c r="F59" s="71"/>
    </row>
    <row r="60" spans="1:6">
      <c r="A60" s="70"/>
      <c r="B60" s="70"/>
      <c r="D60" s="71"/>
      <c r="E60" s="72"/>
      <c r="F60" s="71"/>
    </row>
    <row r="61" spans="1:6">
      <c r="A61" s="70"/>
      <c r="B61" s="70"/>
      <c r="D61" s="71"/>
      <c r="E61" s="72"/>
      <c r="F61" s="71"/>
    </row>
    <row r="62" spans="1:6">
      <c r="A62" s="70"/>
      <c r="B62" s="70"/>
      <c r="D62" s="71"/>
      <c r="E62" s="72"/>
      <c r="F62" s="71"/>
    </row>
    <row r="63" spans="1:6">
      <c r="A63" s="70"/>
      <c r="B63" s="70"/>
      <c r="D63" s="71"/>
      <c r="E63" s="72"/>
      <c r="F63" s="71"/>
    </row>
    <row r="64" spans="1:6">
      <c r="A64" s="70"/>
      <c r="B64" s="70"/>
      <c r="D64" s="71"/>
      <c r="E64" s="72"/>
      <c r="F64" s="71"/>
    </row>
    <row r="65" spans="1:6">
      <c r="A65" s="70"/>
      <c r="B65" s="70"/>
      <c r="D65" s="71"/>
      <c r="E65" s="72"/>
      <c r="F65" s="71"/>
    </row>
    <row r="66" spans="1:6">
      <c r="A66" s="70"/>
      <c r="B66" s="70"/>
      <c r="D66" s="71"/>
      <c r="E66" s="72"/>
      <c r="F66" s="71"/>
    </row>
    <row r="67" spans="1:6">
      <c r="A67" s="70"/>
      <c r="B67" s="70"/>
      <c r="D67" s="71"/>
      <c r="E67" s="72"/>
      <c r="F67" s="71"/>
    </row>
    <row r="68" spans="1:6">
      <c r="A68" s="70"/>
      <c r="B68" s="70"/>
      <c r="D68" s="71"/>
      <c r="E68" s="72"/>
      <c r="F68" s="71"/>
    </row>
    <row r="69" spans="1:6">
      <c r="A69" s="70"/>
      <c r="B69" s="70"/>
      <c r="D69" s="71"/>
      <c r="E69" s="72"/>
      <c r="F69" s="71"/>
    </row>
    <row r="70" spans="1:6">
      <c r="A70" s="70"/>
      <c r="B70" s="70"/>
      <c r="D70" s="71"/>
      <c r="E70" s="72"/>
      <c r="F70" s="71"/>
    </row>
    <row r="71" spans="1:6">
      <c r="A71" s="70"/>
      <c r="B71" s="70"/>
      <c r="D71" s="71"/>
      <c r="E71" s="72"/>
      <c r="F71" s="71"/>
    </row>
    <row r="72" spans="1:6">
      <c r="A72" s="70"/>
      <c r="B72" s="70"/>
      <c r="D72" s="71"/>
      <c r="E72" s="72"/>
      <c r="F72" s="71"/>
    </row>
    <row r="73" spans="1:6">
      <c r="A73" s="70"/>
      <c r="B73" s="70"/>
      <c r="D73" s="71"/>
      <c r="E73" s="72"/>
      <c r="F73" s="71"/>
    </row>
    <row r="74" spans="1:6">
      <c r="A74" s="70"/>
      <c r="B74" s="70"/>
      <c r="D74" s="71"/>
      <c r="E74" s="72"/>
      <c r="F74" s="71"/>
    </row>
    <row r="75" spans="1:6">
      <c r="A75" s="73"/>
      <c r="B75" s="73"/>
      <c r="D75" s="71"/>
      <c r="E75" s="72"/>
      <c r="F75" s="71"/>
    </row>
    <row r="76" spans="1:6">
      <c r="A76" s="73"/>
      <c r="B76" s="73"/>
      <c r="D76" s="71"/>
      <c r="E76" s="72"/>
      <c r="F76" s="71"/>
    </row>
    <row r="77" spans="1:6">
      <c r="A77" s="73"/>
      <c r="B77" s="73"/>
      <c r="D77" s="71"/>
      <c r="E77" s="72"/>
      <c r="F77" s="71"/>
    </row>
    <row r="78" spans="1:6">
      <c r="A78" s="73"/>
      <c r="B78" s="73"/>
      <c r="D78" s="71"/>
      <c r="E78" s="72"/>
      <c r="F78" s="71"/>
    </row>
    <row r="79" spans="1:6">
      <c r="A79" s="73"/>
      <c r="B79" s="73"/>
      <c r="D79" s="71"/>
      <c r="E79" s="72"/>
      <c r="F79" s="71"/>
    </row>
    <row r="80" spans="1:6">
      <c r="A80" s="73"/>
      <c r="B80" s="73"/>
      <c r="D80" s="71"/>
      <c r="E80" s="72"/>
      <c r="F80" s="71"/>
    </row>
    <row r="81" spans="1:6">
      <c r="A81" s="73"/>
      <c r="B81" s="73"/>
      <c r="D81" s="71"/>
      <c r="E81" s="72"/>
      <c r="F81" s="71"/>
    </row>
    <row r="82" spans="1:6">
      <c r="A82" s="73"/>
      <c r="B82" s="73"/>
      <c r="D82" s="71"/>
      <c r="E82" s="72"/>
      <c r="F82" s="71"/>
    </row>
    <row r="83" spans="1:6">
      <c r="A83" s="73"/>
      <c r="B83" s="73"/>
      <c r="D83" s="71"/>
      <c r="E83" s="72"/>
      <c r="F83" s="71"/>
    </row>
    <row r="84" spans="1:6">
      <c r="A84" s="73"/>
      <c r="B84" s="73"/>
      <c r="D84" s="71"/>
      <c r="E84" s="72"/>
      <c r="F84" s="71"/>
    </row>
    <row r="85" spans="1:6">
      <c r="A85" s="73"/>
      <c r="B85" s="73"/>
      <c r="D85" s="71"/>
      <c r="E85" s="72"/>
      <c r="F85" s="71"/>
    </row>
    <row r="86" spans="1:6">
      <c r="A86" s="73"/>
      <c r="B86" s="73"/>
      <c r="D86" s="71"/>
      <c r="E86" s="72"/>
      <c r="F86" s="71"/>
    </row>
    <row r="87" spans="1:6">
      <c r="A87" s="73"/>
      <c r="B87" s="73"/>
      <c r="D87" s="71"/>
      <c r="E87" s="72"/>
      <c r="F87" s="71"/>
    </row>
    <row r="88" spans="1:6">
      <c r="A88" s="73"/>
      <c r="B88" s="73"/>
      <c r="D88" s="71"/>
      <c r="E88" s="72"/>
      <c r="F88" s="71"/>
    </row>
    <row r="89" spans="1:6">
      <c r="A89" s="73"/>
      <c r="B89" s="73"/>
      <c r="D89" s="71"/>
      <c r="E89" s="72"/>
      <c r="F89" s="71"/>
    </row>
    <row r="90" spans="1:6">
      <c r="A90" s="73"/>
      <c r="B90" s="73"/>
      <c r="D90" s="71"/>
      <c r="E90" s="72"/>
      <c r="F90" s="71"/>
    </row>
    <row r="91" spans="1:6">
      <c r="A91" s="73"/>
      <c r="B91" s="73"/>
      <c r="D91" s="71"/>
      <c r="E91" s="72"/>
      <c r="F91" s="71"/>
    </row>
    <row r="92" spans="1:6">
      <c r="A92" s="73"/>
      <c r="B92" s="73"/>
      <c r="D92" s="71"/>
      <c r="E92" s="72"/>
      <c r="F92" s="71"/>
    </row>
    <row r="93" spans="1:6">
      <c r="A93" s="73"/>
      <c r="B93" s="73"/>
      <c r="D93" s="71"/>
      <c r="E93" s="72"/>
      <c r="F93" s="71"/>
    </row>
    <row r="94" spans="1:6">
      <c r="A94" s="73"/>
      <c r="B94" s="73"/>
      <c r="D94" s="71"/>
      <c r="E94" s="72"/>
      <c r="F94" s="71"/>
    </row>
    <row r="95" spans="1:6">
      <c r="A95" s="73"/>
      <c r="B95" s="73"/>
      <c r="D95" s="71"/>
      <c r="E95" s="72"/>
      <c r="F95" s="71"/>
    </row>
    <row r="96" spans="1:6">
      <c r="A96" s="73"/>
      <c r="B96" s="73"/>
      <c r="D96" s="71"/>
      <c r="E96" s="72"/>
      <c r="F96" s="71"/>
    </row>
    <row r="97" spans="1:6">
      <c r="A97" s="73"/>
      <c r="B97" s="73"/>
      <c r="D97" s="71"/>
      <c r="E97" s="72"/>
      <c r="F97" s="71"/>
    </row>
    <row r="98" spans="1:6">
      <c r="A98" s="73"/>
      <c r="B98" s="73"/>
      <c r="D98" s="71"/>
      <c r="E98" s="72"/>
      <c r="F98" s="71"/>
    </row>
    <row r="99" spans="1:6">
      <c r="A99" s="73"/>
      <c r="B99" s="73"/>
      <c r="D99" s="71"/>
      <c r="E99" s="72"/>
      <c r="F99" s="71"/>
    </row>
    <row r="100" spans="1:6">
      <c r="A100" s="73"/>
      <c r="B100" s="73"/>
      <c r="D100" s="71"/>
      <c r="E100" s="72"/>
      <c r="F100" s="71"/>
    </row>
    <row r="101" spans="1:6">
      <c r="A101" s="73"/>
      <c r="B101" s="73"/>
      <c r="D101" s="71"/>
      <c r="E101" s="72"/>
      <c r="F101" s="71"/>
    </row>
    <row r="102" spans="1:6">
      <c r="A102" s="73"/>
      <c r="B102" s="73"/>
      <c r="D102" s="71"/>
      <c r="E102" s="72"/>
      <c r="F102" s="71"/>
    </row>
    <row r="103" spans="1:6">
      <c r="A103" s="73"/>
      <c r="B103" s="73"/>
      <c r="D103" s="71"/>
      <c r="E103" s="72"/>
      <c r="F103" s="71"/>
    </row>
    <row r="104" spans="1:6">
      <c r="A104" s="73"/>
      <c r="B104" s="73"/>
      <c r="D104" s="71"/>
      <c r="E104" s="72"/>
      <c r="F104" s="71"/>
    </row>
    <row r="105" spans="1:6">
      <c r="A105" s="73"/>
      <c r="B105" s="73"/>
      <c r="D105" s="71"/>
      <c r="E105" s="72"/>
      <c r="F105" s="71"/>
    </row>
    <row r="106" spans="1:6">
      <c r="A106" s="73"/>
      <c r="B106" s="73"/>
      <c r="D106" s="71"/>
      <c r="E106" s="72"/>
      <c r="F106" s="71"/>
    </row>
    <row r="107" spans="1:6">
      <c r="A107" s="73"/>
      <c r="B107" s="73"/>
      <c r="D107" s="71"/>
      <c r="E107" s="72"/>
      <c r="F107" s="71"/>
    </row>
    <row r="108" spans="1:6">
      <c r="A108" s="73"/>
      <c r="B108" s="73"/>
      <c r="D108" s="71"/>
      <c r="E108" s="72"/>
      <c r="F108" s="71"/>
    </row>
    <row r="109" spans="1:6">
      <c r="A109" s="73"/>
      <c r="B109" s="73"/>
      <c r="D109" s="71"/>
      <c r="E109" s="72"/>
      <c r="F109" s="71"/>
    </row>
    <row r="110" spans="1:6">
      <c r="A110" s="73"/>
      <c r="B110" s="73"/>
      <c r="D110" s="71"/>
      <c r="E110" s="72"/>
      <c r="F110" s="71"/>
    </row>
    <row r="111" spans="1:6">
      <c r="A111" s="73"/>
      <c r="B111" s="73"/>
      <c r="D111" s="71"/>
      <c r="E111" s="72"/>
      <c r="F111" s="71"/>
    </row>
    <row r="112" spans="1:6">
      <c r="A112" s="73"/>
      <c r="B112" s="73"/>
      <c r="D112" s="71"/>
      <c r="E112" s="72"/>
      <c r="F112" s="71"/>
    </row>
    <row r="113" spans="1:6">
      <c r="A113" s="73"/>
      <c r="B113" s="73"/>
      <c r="D113" s="71"/>
      <c r="E113" s="72"/>
      <c r="F113" s="71"/>
    </row>
    <row r="114" spans="1:6">
      <c r="A114" s="73"/>
      <c r="B114" s="73"/>
      <c r="D114" s="71"/>
      <c r="E114" s="72"/>
      <c r="F114" s="71"/>
    </row>
    <row r="115" spans="1:6">
      <c r="A115" s="73"/>
      <c r="B115" s="73"/>
      <c r="D115" s="71"/>
      <c r="E115" s="72"/>
      <c r="F115" s="71"/>
    </row>
    <row r="116" spans="1:6">
      <c r="A116" s="73"/>
      <c r="B116" s="73"/>
      <c r="D116" s="71"/>
      <c r="E116" s="72"/>
      <c r="F116" s="71"/>
    </row>
    <row r="117" spans="1:6">
      <c r="A117" s="73"/>
      <c r="B117" s="73"/>
      <c r="D117" s="71"/>
      <c r="E117" s="72"/>
      <c r="F117" s="71"/>
    </row>
    <row r="118" spans="1:6">
      <c r="A118" s="73"/>
      <c r="B118" s="73"/>
      <c r="D118" s="71"/>
      <c r="E118" s="72"/>
      <c r="F118" s="71"/>
    </row>
    <row r="119" spans="1:6">
      <c r="A119" s="73"/>
      <c r="B119" s="73"/>
      <c r="D119" s="71"/>
      <c r="E119" s="72"/>
      <c r="F119" s="71"/>
    </row>
    <row r="120" spans="1:6">
      <c r="A120" s="73"/>
      <c r="B120" s="73"/>
      <c r="D120" s="71"/>
      <c r="E120" s="72"/>
      <c r="F120" s="71"/>
    </row>
    <row r="121" spans="1:6">
      <c r="A121" s="73"/>
      <c r="B121" s="73"/>
      <c r="D121" s="71"/>
      <c r="E121" s="72"/>
      <c r="F121" s="71"/>
    </row>
    <row r="122" spans="1:6">
      <c r="A122" s="73"/>
      <c r="B122" s="73"/>
      <c r="D122" s="71"/>
      <c r="E122" s="72"/>
      <c r="F122" s="71"/>
    </row>
    <row r="123" spans="1:6">
      <c r="A123" s="73"/>
      <c r="B123" s="73"/>
      <c r="D123" s="71"/>
      <c r="E123" s="72"/>
      <c r="F123" s="71"/>
    </row>
    <row r="124" spans="1:6">
      <c r="A124" s="73"/>
      <c r="B124" s="73"/>
      <c r="D124" s="71"/>
      <c r="E124" s="72"/>
      <c r="F124" s="71"/>
    </row>
    <row r="125" spans="1:6">
      <c r="A125" s="73"/>
      <c r="B125" s="73"/>
      <c r="D125" s="71"/>
      <c r="E125" s="72"/>
      <c r="F125" s="71"/>
    </row>
    <row r="126" spans="1:6">
      <c r="A126" s="73"/>
      <c r="B126" s="73"/>
      <c r="D126" s="71"/>
      <c r="E126" s="72"/>
      <c r="F126" s="71"/>
    </row>
    <row r="127" spans="1:6">
      <c r="A127" s="73"/>
      <c r="B127" s="73"/>
      <c r="D127" s="71"/>
      <c r="E127" s="72"/>
      <c r="F127" s="71"/>
    </row>
    <row r="128" spans="1:6">
      <c r="A128" s="73"/>
      <c r="B128" s="73"/>
      <c r="D128" s="71"/>
      <c r="E128" s="72"/>
      <c r="F128" s="71"/>
    </row>
    <row r="129" spans="1:6">
      <c r="A129" s="73"/>
      <c r="B129" s="73"/>
      <c r="D129" s="71"/>
      <c r="E129" s="72"/>
      <c r="F129" s="71"/>
    </row>
    <row r="130" spans="1:6">
      <c r="A130" s="73"/>
      <c r="B130" s="73"/>
      <c r="D130" s="71"/>
      <c r="E130" s="72"/>
      <c r="F130" s="71"/>
    </row>
    <row r="131" spans="1:6">
      <c r="A131" s="73"/>
      <c r="B131" s="73"/>
      <c r="D131" s="71"/>
      <c r="E131" s="72"/>
      <c r="F131" s="71"/>
    </row>
    <row r="132" spans="1:6">
      <c r="A132" s="73"/>
      <c r="B132" s="73"/>
      <c r="D132" s="71"/>
      <c r="E132" s="72"/>
      <c r="F132" s="71"/>
    </row>
    <row r="133" spans="1:6">
      <c r="A133" s="73"/>
      <c r="B133" s="73"/>
      <c r="D133" s="71"/>
      <c r="E133" s="72"/>
      <c r="F133" s="71"/>
    </row>
    <row r="134" spans="1:6">
      <c r="A134" s="73"/>
      <c r="B134" s="73"/>
      <c r="D134" s="71"/>
      <c r="E134" s="72"/>
      <c r="F134" s="71"/>
    </row>
    <row r="135" spans="1:6">
      <c r="A135" s="73"/>
      <c r="B135" s="73"/>
      <c r="D135" s="71"/>
      <c r="E135" s="72"/>
      <c r="F135" s="71"/>
    </row>
    <row r="136" spans="1:6">
      <c r="A136" s="73"/>
      <c r="B136" s="73"/>
      <c r="D136" s="71"/>
      <c r="E136" s="72"/>
      <c r="F136" s="71"/>
    </row>
    <row r="137" spans="1:6">
      <c r="A137" s="73"/>
      <c r="B137" s="73"/>
      <c r="D137" s="71"/>
      <c r="E137" s="72"/>
      <c r="F137" s="71"/>
    </row>
    <row r="138" spans="1:6">
      <c r="A138" s="73"/>
      <c r="B138" s="73"/>
      <c r="D138" s="71"/>
      <c r="E138" s="72"/>
      <c r="F138" s="71"/>
    </row>
    <row r="139" spans="1:6">
      <c r="A139" s="73"/>
      <c r="B139" s="73"/>
      <c r="D139" s="71"/>
      <c r="E139" s="72"/>
      <c r="F139" s="71"/>
    </row>
    <row r="140" spans="1:6">
      <c r="A140" s="73"/>
      <c r="B140" s="73"/>
      <c r="D140" s="71"/>
      <c r="E140" s="72"/>
      <c r="F140" s="71"/>
    </row>
    <row r="141" spans="1:6">
      <c r="A141" s="73"/>
      <c r="B141" s="73"/>
      <c r="D141" s="71"/>
      <c r="E141" s="72"/>
      <c r="F141" s="71"/>
    </row>
    <row r="142" spans="1:6">
      <c r="A142" s="73"/>
      <c r="B142" s="73"/>
      <c r="D142" s="71"/>
      <c r="E142" s="72"/>
      <c r="F142" s="71"/>
    </row>
    <row r="143" spans="1:6">
      <c r="A143" s="73"/>
      <c r="B143" s="73"/>
      <c r="D143" s="71"/>
      <c r="E143" s="72"/>
      <c r="F143" s="71"/>
    </row>
    <row r="144" spans="1:6">
      <c r="A144" s="73"/>
      <c r="B144" s="73"/>
      <c r="D144" s="71"/>
      <c r="E144" s="72"/>
      <c r="F144" s="71"/>
    </row>
    <row r="145" spans="1:6">
      <c r="A145" s="73"/>
      <c r="B145" s="73"/>
      <c r="D145" s="71"/>
      <c r="E145" s="72"/>
      <c r="F145" s="71"/>
    </row>
    <row r="146" spans="1:6">
      <c r="A146" s="73"/>
      <c r="B146" s="73"/>
      <c r="D146" s="71"/>
      <c r="E146" s="72"/>
      <c r="F146" s="71"/>
    </row>
    <row r="147" spans="1:6">
      <c r="A147" s="73"/>
      <c r="B147" s="73"/>
      <c r="D147" s="71"/>
      <c r="E147" s="72"/>
      <c r="F147" s="71"/>
    </row>
    <row r="148" spans="1:6">
      <c r="A148" s="73"/>
      <c r="B148" s="73"/>
      <c r="D148" s="71"/>
      <c r="E148" s="72"/>
      <c r="F148" s="71"/>
    </row>
    <row r="149" spans="1:6">
      <c r="A149" s="73"/>
      <c r="B149" s="73"/>
      <c r="D149" s="71"/>
      <c r="E149" s="72"/>
      <c r="F149" s="71"/>
    </row>
    <row r="150" spans="1:6">
      <c r="A150" s="73"/>
      <c r="B150" s="73"/>
      <c r="D150" s="71"/>
      <c r="E150" s="72"/>
      <c r="F150" s="71"/>
    </row>
    <row r="151" spans="1:6">
      <c r="A151" s="73"/>
      <c r="B151" s="73"/>
      <c r="D151" s="71"/>
      <c r="E151" s="72"/>
      <c r="F151" s="71"/>
    </row>
    <row r="152" spans="1:6">
      <c r="A152" s="73"/>
      <c r="B152" s="73"/>
      <c r="D152" s="71"/>
      <c r="E152" s="72"/>
      <c r="F152" s="71"/>
    </row>
    <row r="153" spans="1:6">
      <c r="A153" s="73"/>
      <c r="B153" s="73"/>
      <c r="D153" s="71"/>
      <c r="E153" s="72"/>
      <c r="F153" s="71"/>
    </row>
    <row r="154" spans="1:6">
      <c r="A154" s="73"/>
      <c r="B154" s="73"/>
    </row>
    <row r="155" spans="1:6">
      <c r="A155" s="73"/>
      <c r="B155" s="73"/>
    </row>
    <row r="156" spans="1:6">
      <c r="A156" s="73"/>
      <c r="B156" s="73"/>
    </row>
    <row r="157" spans="1:6">
      <c r="A157" s="73"/>
      <c r="B157" s="73"/>
    </row>
    <row r="158" spans="1:6">
      <c r="A158" s="73"/>
      <c r="B158" s="73"/>
    </row>
    <row r="159" spans="1:6">
      <c r="A159" s="73"/>
      <c r="B159" s="73"/>
    </row>
    <row r="160" spans="1:6">
      <c r="A160" s="73"/>
      <c r="B160" s="73"/>
    </row>
    <row r="161" spans="1:2">
      <c r="A161" s="73"/>
      <c r="B161" s="73"/>
    </row>
    <row r="162" spans="1:2">
      <c r="A162" s="73"/>
      <c r="B162" s="73"/>
    </row>
    <row r="163" spans="1:2">
      <c r="A163" s="73"/>
      <c r="B163" s="73"/>
    </row>
    <row r="164" spans="1:2">
      <c r="A164" s="73"/>
      <c r="B164" s="73"/>
    </row>
  </sheetData>
  <mergeCells count="49">
    <mergeCell ref="A4:A5"/>
    <mergeCell ref="B10:B11"/>
    <mergeCell ref="F12:F13"/>
    <mergeCell ref="A18:A19"/>
    <mergeCell ref="B18:B19"/>
    <mergeCell ref="E18:E19"/>
    <mergeCell ref="F18:F19"/>
    <mergeCell ref="A16:A17"/>
    <mergeCell ref="B16:B17"/>
    <mergeCell ref="E6:E7"/>
    <mergeCell ref="A1:F1"/>
    <mergeCell ref="A25:E25"/>
    <mergeCell ref="A22:E22"/>
    <mergeCell ref="F4:F5"/>
    <mergeCell ref="E4:E5"/>
    <mergeCell ref="A6:A7"/>
    <mergeCell ref="A2:B2"/>
    <mergeCell ref="B4:B5"/>
    <mergeCell ref="C2:F2"/>
    <mergeCell ref="F8:F9"/>
    <mergeCell ref="E16:E17"/>
    <mergeCell ref="B14:B15"/>
    <mergeCell ref="F6:F7"/>
    <mergeCell ref="A10:A11"/>
    <mergeCell ref="B6:B7"/>
    <mergeCell ref="B12:B13"/>
    <mergeCell ref="D33:F33"/>
    <mergeCell ref="A8:A9"/>
    <mergeCell ref="B8:B9"/>
    <mergeCell ref="E8:E9"/>
    <mergeCell ref="E14:E15"/>
    <mergeCell ref="B20:B21"/>
    <mergeCell ref="A14:A15"/>
    <mergeCell ref="A12:A13"/>
    <mergeCell ref="E10:E11"/>
    <mergeCell ref="F14:F15"/>
    <mergeCell ref="E12:E13"/>
    <mergeCell ref="F16:F17"/>
    <mergeCell ref="F10:F11"/>
    <mergeCell ref="A27:B27"/>
    <mergeCell ref="A26:B26"/>
    <mergeCell ref="A28:B28"/>
    <mergeCell ref="G29:H29"/>
    <mergeCell ref="G28:H28"/>
    <mergeCell ref="E20:E21"/>
    <mergeCell ref="F20:F21"/>
    <mergeCell ref="A20:A21"/>
    <mergeCell ref="A23:E23"/>
    <mergeCell ref="A24:E24"/>
  </mergeCells>
  <phoneticPr fontId="0" type="noConversion"/>
  <printOptions horizontalCentered="1"/>
  <pageMargins left="0.39370078740157483" right="0.39370078740157483" top="0.59055118110236227" bottom="0.47244094488188981" header="0.59055118110236227" footer="0.19685039370078741"/>
  <pageSetup paperSize="9" scale="85" orientation="portrait" verticalDpi="4294967295" r:id="rId1"/>
  <headerFooter alignWithMargins="0"/>
  <rowBreaks count="1" manualBreakCount="1">
    <brk id="29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8"/>
  <sheetViews>
    <sheetView view="pageBreakPreview" topLeftCell="A7" zoomScale="90" zoomScaleNormal="100" zoomScaleSheetLayoutView="100" workbookViewId="0">
      <selection activeCell="C3" sqref="C3"/>
    </sheetView>
  </sheetViews>
  <sheetFormatPr defaultColWidth="9.109375" defaultRowHeight="15.6"/>
  <cols>
    <col min="1" max="1" width="4.6640625" style="77" customWidth="1"/>
    <col min="2" max="2" width="7.33203125" style="77" customWidth="1"/>
    <col min="3" max="3" width="9.6640625" style="77" customWidth="1"/>
    <col min="4" max="4" width="6.5546875" style="78" customWidth="1"/>
    <col min="5" max="5" width="10.44140625" style="78" customWidth="1"/>
    <col min="6" max="6" width="5.109375" style="111" customWidth="1"/>
    <col min="7" max="7" width="9" style="78" customWidth="1"/>
    <col min="8" max="8" width="5.6640625" style="77" customWidth="1"/>
    <col min="9" max="9" width="9.44140625" style="77" customWidth="1"/>
    <col min="10" max="10" width="6.33203125" style="77" customWidth="1"/>
    <col min="11" max="11" width="9.5546875" style="77" customWidth="1"/>
    <col min="12" max="12" width="5.44140625" style="77" bestFit="1" customWidth="1"/>
    <col min="13" max="13" width="9.109375" style="77"/>
    <col min="14" max="14" width="13.88671875" style="77" customWidth="1"/>
    <col min="15" max="15" width="10.6640625" style="77" bestFit="1" customWidth="1"/>
    <col min="16" max="16384" width="9.109375" style="77"/>
  </cols>
  <sheetData>
    <row r="1" spans="1:16" ht="39" customHeight="1" thickBot="1">
      <c r="A1" s="168" t="s">
        <v>56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70"/>
      <c r="N1" s="77" t="s">
        <v>114</v>
      </c>
      <c r="O1" s="78">
        <f>Abstract!F25</f>
        <v>100000</v>
      </c>
    </row>
    <row r="2" spans="1:16" ht="44.25" customHeight="1" thickBot="1">
      <c r="A2" s="240" t="str">
        <f>Abstract!A2</f>
        <v xml:space="preserve">કામ નું નામ :- </v>
      </c>
      <c r="B2" s="241"/>
      <c r="C2" s="242"/>
      <c r="D2" s="236" t="str">
        <f>Estimate!C20</f>
        <v xml:space="preserve">ગોળજ તાબે ચોથીયાની મુવાડી મહેશભાઈ બાલાભાઈના ફળિયામાં પેવર બ્લોકનું કામ. </v>
      </c>
      <c r="E2" s="237"/>
      <c r="F2" s="237"/>
      <c r="G2" s="237"/>
      <c r="H2" s="237"/>
      <c r="I2" s="237"/>
      <c r="J2" s="237"/>
      <c r="K2" s="237"/>
      <c r="L2" s="238"/>
      <c r="N2" s="77" t="s">
        <v>115</v>
      </c>
      <c r="O2" s="232">
        <f>Abstract!F24</f>
        <v>100460.1732</v>
      </c>
      <c r="P2" s="233"/>
    </row>
    <row r="3" spans="1:16">
      <c r="A3" s="228" t="s">
        <v>37</v>
      </c>
      <c r="B3" s="229"/>
      <c r="C3" s="112">
        <v>10</v>
      </c>
      <c r="D3" s="80" t="s">
        <v>39</v>
      </c>
      <c r="E3" s="81"/>
      <c r="F3" s="82"/>
      <c r="G3" s="243" t="s">
        <v>79</v>
      </c>
      <c r="H3" s="243"/>
      <c r="I3" s="239">
        <f>C3*C4</f>
        <v>105</v>
      </c>
      <c r="J3" s="239"/>
      <c r="K3" s="83" t="s">
        <v>80</v>
      </c>
      <c r="L3" s="84"/>
      <c r="O3" s="78">
        <f>O1-O2</f>
        <v>-460.17320000000473</v>
      </c>
    </row>
    <row r="4" spans="1:16">
      <c r="A4" s="228" t="s">
        <v>38</v>
      </c>
      <c r="B4" s="229"/>
      <c r="C4" s="112">
        <v>10.5</v>
      </c>
      <c r="D4" s="80" t="s">
        <v>39</v>
      </c>
      <c r="E4" s="80"/>
      <c r="F4" s="82"/>
      <c r="G4" s="81"/>
      <c r="H4" s="85"/>
      <c r="I4" s="80"/>
      <c r="J4" s="80"/>
      <c r="K4" s="83"/>
      <c r="L4" s="84"/>
    </row>
    <row r="5" spans="1:16" ht="48" customHeight="1">
      <c r="A5" s="225" t="str">
        <f>Abstract!C4</f>
        <v>Item No :- :- 1 Box cutting the road surface to proper slope and camber for making a base for road work including removing the excavated stuff and depositing on the road side slope as directed upto 50Mt.lead.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6" ht="19.5" customHeight="1">
      <c r="A6" s="86"/>
      <c r="B6" s="80"/>
      <c r="D6" s="77"/>
      <c r="E6" s="112">
        <v>1</v>
      </c>
      <c r="F6" s="118" t="s">
        <v>36</v>
      </c>
      <c r="G6" s="112">
        <f>I3</f>
        <v>105</v>
      </c>
      <c r="H6" s="119" t="s">
        <v>36</v>
      </c>
      <c r="I6" s="112">
        <v>0.2</v>
      </c>
      <c r="J6" s="121" t="s">
        <v>68</v>
      </c>
      <c r="K6" s="114">
        <f>E6*G6*I6</f>
        <v>21</v>
      </c>
      <c r="L6" s="115"/>
    </row>
    <row r="7" spans="1:16" ht="19.5" customHeight="1">
      <c r="A7" s="86"/>
      <c r="B7" s="80"/>
      <c r="C7" s="88"/>
      <c r="D7" s="83"/>
      <c r="E7" s="116"/>
      <c r="F7" s="117"/>
      <c r="G7" s="112"/>
      <c r="H7" s="113"/>
      <c r="I7" s="234" t="s">
        <v>40</v>
      </c>
      <c r="J7" s="234"/>
      <c r="K7" s="112">
        <f>SUM(K6:K6)</f>
        <v>21</v>
      </c>
      <c r="L7" s="84" t="s">
        <v>73</v>
      </c>
    </row>
    <row r="8" spans="1:16">
      <c r="A8" s="86"/>
      <c r="B8" s="80"/>
      <c r="C8" s="88"/>
      <c r="D8" s="83"/>
      <c r="E8" s="88"/>
      <c r="F8" s="82"/>
      <c r="G8" s="83"/>
      <c r="H8" s="80"/>
      <c r="I8" s="89"/>
      <c r="J8" s="89"/>
      <c r="K8" s="83"/>
      <c r="L8" s="84"/>
    </row>
    <row r="9" spans="1:16" ht="37.950000000000003" customHeight="1">
      <c r="A9" s="225" t="str">
        <f>Abstract!C6</f>
        <v>Item No :- 2 Collecting, carting and stacking soft murum/binding material at site of work including filling the boxes etc comp.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7"/>
    </row>
    <row r="10" spans="1:16" ht="19.5" customHeight="1">
      <c r="A10" s="86"/>
      <c r="B10" s="80"/>
      <c r="C10" s="90"/>
      <c r="D10" s="83"/>
      <c r="E10" s="112">
        <v>1</v>
      </c>
      <c r="F10" s="122" t="s">
        <v>36</v>
      </c>
      <c r="G10" s="112">
        <f>G6</f>
        <v>105</v>
      </c>
      <c r="H10" s="123" t="s">
        <v>36</v>
      </c>
      <c r="I10" s="112">
        <v>0.1</v>
      </c>
      <c r="J10" s="120" t="s">
        <v>68</v>
      </c>
      <c r="K10" s="114">
        <f>E10*G10*I10</f>
        <v>10.5</v>
      </c>
      <c r="L10" s="84"/>
    </row>
    <row r="11" spans="1:16">
      <c r="A11" s="86"/>
      <c r="B11" s="80"/>
      <c r="C11" s="90"/>
      <c r="D11" s="83"/>
      <c r="E11" s="79"/>
      <c r="F11" s="79"/>
      <c r="G11" s="79"/>
      <c r="H11" s="87"/>
      <c r="I11" s="244" t="s">
        <v>40</v>
      </c>
      <c r="J11" s="244"/>
      <c r="K11" s="112">
        <f>K10</f>
        <v>10.5</v>
      </c>
      <c r="L11" s="84" t="s">
        <v>73</v>
      </c>
    </row>
    <row r="12" spans="1:16" ht="36" hidden="1" customHeight="1">
      <c r="A12" s="225" t="str">
        <f>Abstract!C8</f>
        <v>Item No :- 3  Spreading blindage or road crust filling the  gaps in metal and levelling to gradient  and camber as directed (i) Murrum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7"/>
    </row>
    <row r="13" spans="1:16" hidden="1">
      <c r="A13" s="228" t="s">
        <v>72</v>
      </c>
      <c r="B13" s="229"/>
      <c r="C13" s="229"/>
      <c r="D13" s="229"/>
      <c r="E13" s="229"/>
      <c r="F13" s="229"/>
      <c r="G13" s="229"/>
      <c r="H13" s="229"/>
      <c r="I13" s="229"/>
      <c r="J13" s="83" t="s">
        <v>68</v>
      </c>
      <c r="K13" s="83">
        <f>K10</f>
        <v>10.5</v>
      </c>
      <c r="L13" s="84" t="s">
        <v>73</v>
      </c>
    </row>
    <row r="14" spans="1:16" hidden="1">
      <c r="A14" s="86"/>
      <c r="B14" s="80"/>
      <c r="C14" s="80"/>
      <c r="D14" s="83"/>
      <c r="E14" s="83"/>
      <c r="F14" s="83"/>
      <c r="G14" s="83"/>
      <c r="H14" s="83"/>
      <c r="I14" s="83"/>
      <c r="J14" s="83"/>
      <c r="K14" s="83"/>
      <c r="L14" s="84"/>
    </row>
    <row r="15" spans="1:16" ht="62.25" hidden="1" customHeight="1">
      <c r="A15" s="225" t="str">
        <f>Abstract!C10</f>
        <v xml:space="preserve">Item No :- 4 Rolling and consolidation water bound macadam (Except laterite and kankar) including watering not excceding 150 mm thickness ( main layer including binding  matenals) including filling in  depressions which occurs during the process (B) With power roller excceding 8 tonne and not excecding 12 tonne. 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7"/>
    </row>
    <row r="16" spans="1:16" hidden="1">
      <c r="A16" s="228" t="s">
        <v>43</v>
      </c>
      <c r="B16" s="229"/>
      <c r="C16" s="229"/>
      <c r="D16" s="83"/>
      <c r="E16" s="83">
        <f>C3</f>
        <v>10</v>
      </c>
      <c r="F16" s="89" t="s">
        <v>36</v>
      </c>
      <c r="G16" s="83" t="e">
        <f>#REF!</f>
        <v>#REF!</v>
      </c>
      <c r="H16" s="80"/>
      <c r="I16" s="85"/>
      <c r="J16" s="91" t="s">
        <v>68</v>
      </c>
      <c r="K16" s="83" t="e">
        <f>TRUNC((G16*E16),2)</f>
        <v>#REF!</v>
      </c>
      <c r="L16" s="84" t="s">
        <v>44</v>
      </c>
    </row>
    <row r="17" spans="1:16" hidden="1">
      <c r="A17" s="86"/>
      <c r="B17" s="80"/>
      <c r="C17" s="80"/>
      <c r="D17" s="83"/>
      <c r="E17" s="83"/>
      <c r="F17" s="89"/>
      <c r="G17" s="83"/>
      <c r="H17" s="80"/>
      <c r="I17" s="85"/>
      <c r="J17" s="91"/>
      <c r="K17" s="83"/>
      <c r="L17" s="84"/>
    </row>
    <row r="18" spans="1:16" ht="72" customHeight="1">
      <c r="A18" s="225" t="str">
        <f>Abstract!C12</f>
        <v>Item No :- 3 Providing and fixing pre-cast Rubber Dye / steel Dye inter lockingconcrete block 60mm thick with grade of concrete M300pnumatic compressed / vibrated mechanically and as perapproved design Confirming to IS 15658 : 2006 including 35 mmSand layer for levelling and filling the joint with sand in properline and level as per guidlines of IRC : SP 63-2018 etc. Complete.</v>
      </c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7"/>
      <c r="M18" s="32"/>
      <c r="N18" s="32"/>
      <c r="O18" s="32" t="s">
        <v>80</v>
      </c>
      <c r="P18" s="32" t="s">
        <v>84</v>
      </c>
    </row>
    <row r="19" spans="1:16">
      <c r="A19" s="228"/>
      <c r="B19" s="229"/>
      <c r="C19" s="92"/>
      <c r="D19" s="79"/>
      <c r="E19" s="79"/>
      <c r="F19" s="79"/>
      <c r="G19" s="79"/>
      <c r="H19" s="87"/>
      <c r="I19" s="118" t="s">
        <v>81</v>
      </c>
      <c r="J19" s="121" t="s">
        <v>68</v>
      </c>
      <c r="K19" s="114">
        <f>I3</f>
        <v>105</v>
      </c>
      <c r="L19" s="84" t="s">
        <v>44</v>
      </c>
      <c r="M19" s="32" t="s">
        <v>84</v>
      </c>
      <c r="N19" s="32" t="s">
        <v>85</v>
      </c>
      <c r="O19" s="32">
        <v>1</v>
      </c>
      <c r="P19" s="32">
        <f>3.28*3.28</f>
        <v>10.758399999999998</v>
      </c>
    </row>
    <row r="20" spans="1:16">
      <c r="A20" s="86"/>
      <c r="B20" s="80"/>
      <c r="C20" s="90" t="s">
        <v>85</v>
      </c>
      <c r="D20" s="118" t="s">
        <v>68</v>
      </c>
      <c r="E20" s="112">
        <f>N20</f>
        <v>11.296319999999998</v>
      </c>
      <c r="F20" s="79"/>
      <c r="G20" s="79"/>
      <c r="H20" s="87"/>
      <c r="I20" s="235" t="s">
        <v>40</v>
      </c>
      <c r="J20" s="235"/>
      <c r="K20" s="112">
        <f>K19</f>
        <v>105</v>
      </c>
      <c r="L20" s="84" t="s">
        <v>44</v>
      </c>
      <c r="M20" s="93">
        <f>K20*P19</f>
        <v>1129.6319999999998</v>
      </c>
      <c r="N20" s="32">
        <f>M20/100</f>
        <v>11.296319999999998</v>
      </c>
      <c r="O20" s="32"/>
      <c r="P20" s="32"/>
    </row>
    <row r="21" spans="1:16" ht="34.950000000000003" customHeight="1">
      <c r="A21" s="225" t="str">
        <f>Abstract!C14</f>
        <v>Item No :- 4 Providing cement vata (10cm. x 10 cm. size) quarter round incement mortar 1:1 including neat cement finishing, watering etc.complete.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7"/>
    </row>
    <row r="22" spans="1:16">
      <c r="A22" s="230" t="s">
        <v>42</v>
      </c>
      <c r="B22" s="231"/>
      <c r="C22" s="125">
        <v>2</v>
      </c>
      <c r="D22" s="118" t="s">
        <v>36</v>
      </c>
      <c r="E22" s="112">
        <f>C3</f>
        <v>10</v>
      </c>
      <c r="F22" s="79"/>
      <c r="G22" s="79"/>
      <c r="H22" s="87"/>
      <c r="I22" s="79"/>
      <c r="J22" s="121" t="s">
        <v>68</v>
      </c>
      <c r="K22" s="112">
        <f>TRUNC(C22*E22,2)</f>
        <v>20</v>
      </c>
      <c r="L22" s="97" t="str">
        <f>Abstract!E14</f>
        <v>Rmt</v>
      </c>
    </row>
    <row r="23" spans="1:16">
      <c r="A23" s="94"/>
      <c r="B23" s="87"/>
      <c r="C23" s="124">
        <v>2</v>
      </c>
      <c r="D23" s="118" t="s">
        <v>36</v>
      </c>
      <c r="E23" s="112">
        <f>C4</f>
        <v>10.5</v>
      </c>
      <c r="F23" s="79"/>
      <c r="G23" s="79"/>
      <c r="H23" s="87"/>
      <c r="I23" s="79"/>
      <c r="J23" s="121" t="s">
        <v>68</v>
      </c>
      <c r="K23" s="114">
        <f>TRUNC(C23*E23,2)</f>
        <v>21</v>
      </c>
      <c r="L23" s="97" t="str">
        <f>L22</f>
        <v>Rmt</v>
      </c>
    </row>
    <row r="24" spans="1:16">
      <c r="A24" s="94"/>
      <c r="B24" s="87"/>
      <c r="C24" s="79"/>
      <c r="D24" s="79"/>
      <c r="E24" s="79"/>
      <c r="F24" s="79"/>
      <c r="G24" s="79"/>
      <c r="H24" s="95"/>
      <c r="I24" s="95" t="s">
        <v>40</v>
      </c>
      <c r="J24" s="121"/>
      <c r="K24" s="112">
        <f>SUM(K22:K23)</f>
        <v>41</v>
      </c>
      <c r="L24" s="97" t="str">
        <f>L22</f>
        <v>Rmt</v>
      </c>
      <c r="M24" s="77">
        <v>0.05</v>
      </c>
      <c r="N24" s="77">
        <f>K24*M24</f>
        <v>2.0500000000000003</v>
      </c>
    </row>
    <row r="25" spans="1:16">
      <c r="A25" s="86"/>
      <c r="B25" s="80"/>
      <c r="C25" s="83"/>
      <c r="D25" s="83"/>
      <c r="E25" s="83"/>
      <c r="F25" s="83"/>
      <c r="G25" s="83"/>
      <c r="H25" s="96"/>
      <c r="I25" s="96"/>
      <c r="J25" s="91"/>
      <c r="K25" s="83"/>
      <c r="L25" s="97"/>
    </row>
    <row r="26" spans="1:16">
      <c r="A26" s="225" t="str">
        <f>Abstract!C18</f>
        <v>Item No :- 5 Testing charges for Kapchi,Metal,Sand,Cement,C.C. Cube as per schedule of testing</v>
      </c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7"/>
    </row>
    <row r="27" spans="1:16">
      <c r="A27" s="86"/>
      <c r="B27" s="80"/>
      <c r="C27" s="83"/>
      <c r="D27" s="83"/>
      <c r="E27" s="83"/>
      <c r="F27" s="83"/>
      <c r="G27" s="83"/>
      <c r="H27" s="80"/>
      <c r="I27" s="83"/>
      <c r="J27" s="121" t="s">
        <v>68</v>
      </c>
      <c r="K27" s="83">
        <v>1</v>
      </c>
      <c r="L27" s="84" t="s">
        <v>96</v>
      </c>
    </row>
    <row r="28" spans="1:16" ht="15.6" hidden="1" customHeight="1">
      <c r="A28" s="225" t="str">
        <f>Abstract!C16</f>
        <v>Item No:-7   Conveyance charges for disposal of earth  as and where directed with in 1 KM from the end of cutting with all required lead and lift.</v>
      </c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7"/>
    </row>
    <row r="29" spans="1:16" ht="17.399999999999999" hidden="1" customHeight="1">
      <c r="A29" s="225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7"/>
    </row>
    <row r="30" spans="1:16" hidden="1">
      <c r="A30" s="228" t="s">
        <v>71</v>
      </c>
      <c r="B30" s="229"/>
      <c r="C30" s="229"/>
      <c r="D30" s="229"/>
      <c r="E30" s="229"/>
      <c r="F30" s="229"/>
      <c r="G30" s="229"/>
      <c r="H30" s="229"/>
      <c r="I30" s="229"/>
      <c r="J30" s="80" t="s">
        <v>68</v>
      </c>
      <c r="K30" s="83">
        <f>K7</f>
        <v>21</v>
      </c>
      <c r="L30" s="84" t="s">
        <v>73</v>
      </c>
    </row>
    <row r="31" spans="1:16" hidden="1">
      <c r="A31" s="86"/>
      <c r="B31" s="80"/>
      <c r="C31" s="80"/>
      <c r="D31" s="83"/>
      <c r="E31" s="83"/>
      <c r="F31" s="83"/>
      <c r="G31" s="83"/>
      <c r="H31" s="83"/>
      <c r="I31" s="83"/>
      <c r="J31" s="83"/>
      <c r="K31" s="83"/>
      <c r="L31" s="84"/>
    </row>
    <row r="32" spans="1:16" ht="42.6" customHeight="1">
      <c r="A32" s="225" t="str">
        <f>Abstract!C20</f>
        <v>Item No:- 6 Providing and fixing Number plate of Marble plate stone of required size set in C.M. 1:4 including finishing and engraving letters etc. completes.</v>
      </c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7"/>
    </row>
    <row r="33" spans="1:12" ht="16.2" thickBot="1">
      <c r="A33" s="98"/>
      <c r="B33" s="99"/>
      <c r="C33" s="99"/>
      <c r="D33" s="100"/>
      <c r="E33" s="100"/>
      <c r="F33" s="101"/>
      <c r="G33" s="100"/>
      <c r="H33" s="99"/>
      <c r="I33" s="102"/>
      <c r="J33" s="121" t="s">
        <v>68</v>
      </c>
      <c r="K33" s="99">
        <v>1</v>
      </c>
      <c r="L33" s="103" t="s">
        <v>46</v>
      </c>
    </row>
    <row r="34" spans="1:12">
      <c r="A34" s="104"/>
      <c r="B34" s="104"/>
      <c r="C34" s="104"/>
      <c r="D34" s="105"/>
      <c r="E34" s="105"/>
      <c r="F34" s="106"/>
      <c r="G34" s="105"/>
      <c r="H34" s="104"/>
      <c r="I34" s="224"/>
      <c r="J34" s="224"/>
      <c r="K34" s="224"/>
      <c r="L34" s="107"/>
    </row>
    <row r="35" spans="1:12">
      <c r="A35" s="108"/>
      <c r="B35" s="108"/>
      <c r="C35" s="108"/>
      <c r="D35" s="109"/>
      <c r="E35" s="109"/>
      <c r="F35" s="110"/>
      <c r="G35" s="109"/>
      <c r="H35" s="108"/>
    </row>
    <row r="36" spans="1:12">
      <c r="A36" s="108"/>
      <c r="B36" s="108"/>
      <c r="C36" s="108"/>
      <c r="D36" s="109"/>
      <c r="E36" s="109"/>
      <c r="F36" s="110"/>
      <c r="G36" s="109"/>
      <c r="H36" s="108"/>
    </row>
    <row r="37" spans="1:12">
      <c r="A37" s="108"/>
      <c r="B37" s="108"/>
      <c r="C37" s="108"/>
      <c r="D37" s="109"/>
      <c r="E37" s="109"/>
      <c r="F37" s="110"/>
      <c r="G37" s="109"/>
      <c r="H37" s="108"/>
    </row>
    <row r="38" spans="1:12">
      <c r="A38" s="108"/>
      <c r="B38" s="108"/>
      <c r="C38" s="108"/>
      <c r="D38" s="109"/>
      <c r="E38" s="109"/>
      <c r="F38" s="110"/>
      <c r="G38" s="109"/>
      <c r="H38" s="108"/>
    </row>
    <row r="39" spans="1:12">
      <c r="A39" s="108"/>
      <c r="B39" s="108"/>
      <c r="C39" s="108"/>
      <c r="D39" s="109"/>
      <c r="E39" s="109"/>
      <c r="F39" s="110"/>
      <c r="G39" s="109"/>
      <c r="H39" s="108"/>
    </row>
    <row r="40" spans="1:12">
      <c r="A40" s="108"/>
      <c r="B40" s="108"/>
      <c r="C40" s="108"/>
      <c r="D40" s="109"/>
      <c r="E40" s="109"/>
      <c r="F40" s="110"/>
      <c r="G40" s="109"/>
      <c r="H40" s="108"/>
    </row>
    <row r="41" spans="1:12">
      <c r="A41" s="108"/>
      <c r="B41" s="108"/>
      <c r="C41" s="108"/>
      <c r="D41" s="109"/>
      <c r="E41" s="109"/>
      <c r="F41" s="110"/>
      <c r="G41" s="109"/>
      <c r="H41" s="108"/>
    </row>
    <row r="42" spans="1:12">
      <c r="A42" s="108"/>
      <c r="B42" s="108"/>
      <c r="C42" s="108"/>
      <c r="D42" s="109"/>
      <c r="E42" s="109"/>
      <c r="F42" s="110"/>
      <c r="G42" s="109"/>
      <c r="H42" s="108"/>
    </row>
    <row r="43" spans="1:12">
      <c r="A43" s="108"/>
      <c r="B43" s="108"/>
      <c r="C43" s="108"/>
      <c r="D43" s="109"/>
      <c r="E43" s="109"/>
      <c r="F43" s="110"/>
      <c r="G43" s="109"/>
      <c r="H43" s="108"/>
    </row>
    <row r="44" spans="1:12">
      <c r="A44" s="108"/>
      <c r="B44" s="108"/>
      <c r="C44" s="108"/>
      <c r="D44" s="109"/>
      <c r="E44" s="109"/>
      <c r="F44" s="110"/>
      <c r="G44" s="109"/>
      <c r="H44" s="108"/>
    </row>
    <row r="45" spans="1:12">
      <c r="A45" s="108"/>
      <c r="B45" s="108"/>
      <c r="C45" s="108"/>
      <c r="D45" s="109"/>
      <c r="E45" s="109"/>
      <c r="F45" s="110"/>
      <c r="G45" s="109"/>
      <c r="H45" s="108"/>
    </row>
    <row r="46" spans="1:12">
      <c r="A46" s="108"/>
      <c r="B46" s="108"/>
      <c r="C46" s="108"/>
      <c r="D46" s="109"/>
      <c r="E46" s="109"/>
      <c r="F46" s="110"/>
      <c r="G46" s="109"/>
      <c r="H46" s="108"/>
    </row>
    <row r="47" spans="1:12">
      <c r="A47" s="108"/>
      <c r="B47" s="108"/>
      <c r="C47" s="108"/>
      <c r="D47" s="109"/>
      <c r="E47" s="109"/>
      <c r="F47" s="110"/>
      <c r="G47" s="109"/>
      <c r="H47" s="108"/>
    </row>
    <row r="48" spans="1:12">
      <c r="A48" s="108"/>
      <c r="B48" s="108"/>
      <c r="C48" s="108"/>
      <c r="D48" s="109"/>
      <c r="E48" s="109"/>
      <c r="F48" s="110"/>
      <c r="G48" s="109"/>
      <c r="H48" s="108"/>
    </row>
  </sheetData>
  <mergeCells count="26">
    <mergeCell ref="A16:C16"/>
    <mergeCell ref="I7:J7"/>
    <mergeCell ref="I20:J20"/>
    <mergeCell ref="A1:L1"/>
    <mergeCell ref="A15:L15"/>
    <mergeCell ref="D2:L2"/>
    <mergeCell ref="I3:J3"/>
    <mergeCell ref="A13:I13"/>
    <mergeCell ref="A2:C2"/>
    <mergeCell ref="A4:B4"/>
    <mergeCell ref="G3:H3"/>
    <mergeCell ref="I11:J11"/>
    <mergeCell ref="O2:P2"/>
    <mergeCell ref="A12:L12"/>
    <mergeCell ref="A3:B3"/>
    <mergeCell ref="A9:L9"/>
    <mergeCell ref="A5:L5"/>
    <mergeCell ref="I34:K34"/>
    <mergeCell ref="A18:L18"/>
    <mergeCell ref="A19:B19"/>
    <mergeCell ref="A32:L32"/>
    <mergeCell ref="A28:L29"/>
    <mergeCell ref="A22:B22"/>
    <mergeCell ref="A30:I30"/>
    <mergeCell ref="A26:L26"/>
    <mergeCell ref="A21:L21"/>
  </mergeCells>
  <phoneticPr fontId="0" type="noConversion"/>
  <printOptions horizontalCentered="1"/>
  <pageMargins left="0.39370078740157483" right="0.39370078740157483" top="0.59055118110236227" bottom="0.39370078740157483" header="0.15748031496062992" footer="0.27559055118110237"/>
  <pageSetup paperSize="9" orientation="portrait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54"/>
  <sheetViews>
    <sheetView view="pageBreakPreview" topLeftCell="A28" zoomScale="90" zoomScaleNormal="100" zoomScaleSheetLayoutView="90" workbookViewId="0">
      <selection activeCell="F19" sqref="F19"/>
    </sheetView>
  </sheetViews>
  <sheetFormatPr defaultColWidth="9.109375" defaultRowHeight="13.2"/>
  <cols>
    <col min="1" max="1" width="17.109375" style="11" customWidth="1"/>
    <col min="2" max="2" width="9.33203125" style="11" customWidth="1"/>
    <col min="3" max="3" width="9.44140625" style="11" customWidth="1"/>
    <col min="4" max="4" width="10.5546875" style="11" customWidth="1"/>
    <col min="5" max="5" width="5.44140625" style="11" customWidth="1"/>
    <col min="6" max="6" width="14.5546875" style="11" customWidth="1"/>
    <col min="7" max="7" width="13.109375" style="11" customWidth="1"/>
    <col min="8" max="16384" width="9.109375" style="11"/>
  </cols>
  <sheetData>
    <row r="1" spans="1:10" ht="52.5" customHeight="1">
      <c r="A1" s="126" t="str">
        <f>Abstract!A2</f>
        <v xml:space="preserve">કામ નું નામ :- </v>
      </c>
      <c r="B1" s="257" t="str">
        <f>Abstract!C2</f>
        <v xml:space="preserve">ગોળજ તાબે ચોથીયાની મુવાડી મહેશભાઈ બાલાભાઈના ફળિયામાં પેવર બ્લોકનું કામ. </v>
      </c>
      <c r="C1" s="190"/>
      <c r="D1" s="190"/>
      <c r="E1" s="190"/>
      <c r="F1" s="190"/>
      <c r="G1" s="190"/>
      <c r="H1" s="190"/>
      <c r="I1" s="190"/>
    </row>
    <row r="2" spans="1:10" ht="15">
      <c r="A2" s="259" t="s">
        <v>19</v>
      </c>
      <c r="B2" s="259"/>
      <c r="C2" s="259"/>
      <c r="D2" s="259"/>
      <c r="E2" s="259"/>
      <c r="F2" s="259"/>
      <c r="G2" s="259"/>
      <c r="H2" s="259"/>
    </row>
    <row r="3" spans="1:10" ht="15">
      <c r="A3" s="259"/>
      <c r="B3" s="259"/>
      <c r="C3" s="259"/>
      <c r="D3" s="259"/>
      <c r="E3" s="259"/>
      <c r="F3" s="259"/>
      <c r="G3" s="259"/>
      <c r="H3" s="259"/>
    </row>
    <row r="4" spans="1:10" ht="15" customHeight="1">
      <c r="A4" s="246" t="s">
        <v>54</v>
      </c>
      <c r="B4" s="246"/>
      <c r="C4" s="246"/>
      <c r="D4" s="246"/>
      <c r="E4" s="246"/>
      <c r="F4" s="246"/>
      <c r="G4" s="246"/>
      <c r="H4" s="246"/>
    </row>
    <row r="5" spans="1:10" ht="15" customHeight="1">
      <c r="A5" s="277" t="s">
        <v>136</v>
      </c>
      <c r="B5" s="277" t="s">
        <v>134</v>
      </c>
      <c r="C5" s="278" t="str">
        <f>Estimate!H18</f>
        <v>THASRA</v>
      </c>
      <c r="D5" s="166">
        <v>30</v>
      </c>
      <c r="E5" s="246" t="s">
        <v>20</v>
      </c>
      <c r="F5" s="246"/>
      <c r="G5" s="246"/>
      <c r="H5" s="246"/>
    </row>
    <row r="6" spans="1:10">
      <c r="A6" s="278" t="str">
        <f>C5</f>
        <v>THASRA</v>
      </c>
      <c r="B6" s="277" t="s">
        <v>134</v>
      </c>
      <c r="C6" s="277" t="s">
        <v>135</v>
      </c>
      <c r="D6" s="166">
        <v>10</v>
      </c>
      <c r="E6" s="246"/>
      <c r="F6" s="246"/>
      <c r="G6" s="246"/>
      <c r="H6" s="246"/>
    </row>
    <row r="7" spans="1:10">
      <c r="A7" s="258" t="s">
        <v>25</v>
      </c>
      <c r="B7" s="258"/>
      <c r="C7" s="258"/>
      <c r="D7" s="166">
        <f>D5+D6</f>
        <v>40</v>
      </c>
      <c r="E7" s="246" t="s">
        <v>20</v>
      </c>
      <c r="F7" s="246"/>
      <c r="G7" s="246"/>
      <c r="H7" s="246"/>
    </row>
    <row r="8" spans="1:10">
      <c r="A8" s="258" t="s">
        <v>23</v>
      </c>
      <c r="B8" s="258"/>
      <c r="C8" s="258"/>
      <c r="D8" s="166">
        <f>TRUNC(D7,0)</f>
        <v>40</v>
      </c>
      <c r="E8" s="246" t="s">
        <v>20</v>
      </c>
      <c r="F8" s="246"/>
      <c r="G8" s="246"/>
      <c r="H8" s="246"/>
    </row>
    <row r="9" spans="1:10">
      <c r="A9" s="246"/>
      <c r="B9" s="246"/>
      <c r="C9" s="246"/>
      <c r="D9" s="246"/>
      <c r="E9" s="246"/>
      <c r="F9" s="246"/>
      <c r="G9" s="246"/>
      <c r="H9" s="246"/>
    </row>
    <row r="10" spans="1:10" ht="15" customHeight="1">
      <c r="A10" s="246" t="s">
        <v>33</v>
      </c>
      <c r="B10" s="246"/>
      <c r="C10" s="246"/>
      <c r="D10" s="246"/>
      <c r="E10" s="246"/>
      <c r="F10" s="246"/>
      <c r="G10" s="246"/>
      <c r="H10" s="246"/>
    </row>
    <row r="11" spans="1:10">
      <c r="A11" s="246" t="s">
        <v>34</v>
      </c>
      <c r="B11" s="246"/>
      <c r="C11" s="246"/>
      <c r="D11" s="166">
        <v>5</v>
      </c>
      <c r="E11" s="246" t="s">
        <v>20</v>
      </c>
      <c r="F11" s="246"/>
      <c r="G11" s="246"/>
      <c r="H11" s="246"/>
    </row>
    <row r="12" spans="1:10" ht="15" customHeight="1">
      <c r="A12" s="246"/>
      <c r="B12" s="246"/>
      <c r="C12" s="246"/>
      <c r="D12" s="246"/>
      <c r="E12" s="246"/>
      <c r="F12" s="246"/>
      <c r="G12" s="246"/>
      <c r="H12" s="246"/>
    </row>
    <row r="13" spans="1:10" ht="15" customHeight="1">
      <c r="A13" s="246" t="s">
        <v>21</v>
      </c>
      <c r="B13" s="246"/>
      <c r="C13" s="246"/>
      <c r="D13" s="246"/>
      <c r="E13" s="246"/>
      <c r="F13" s="246"/>
      <c r="G13" s="246"/>
      <c r="H13" s="246"/>
    </row>
    <row r="14" spans="1:10" ht="15">
      <c r="A14" s="127"/>
      <c r="B14" s="24"/>
      <c r="C14" s="24"/>
      <c r="D14" s="24"/>
      <c r="E14" s="24"/>
      <c r="F14" s="24"/>
      <c r="G14" s="15"/>
      <c r="H14" s="128"/>
    </row>
    <row r="15" spans="1:10" ht="15">
      <c r="A15" s="129"/>
      <c r="B15" s="130"/>
      <c r="C15" s="130"/>
      <c r="D15" s="130"/>
      <c r="E15" s="130"/>
      <c r="F15" s="130"/>
      <c r="G15" s="15"/>
      <c r="H15" s="128"/>
    </row>
    <row r="16" spans="1:10" ht="20.399999999999999">
      <c r="A16" s="256"/>
      <c r="B16" s="256"/>
      <c r="C16" s="254"/>
      <c r="D16" s="254"/>
      <c r="E16" s="254"/>
      <c r="F16" s="254"/>
      <c r="G16" s="254"/>
      <c r="H16" s="254"/>
      <c r="I16" s="254"/>
      <c r="J16" s="131"/>
    </row>
    <row r="17" spans="1:9" ht="15">
      <c r="A17" s="247" t="s">
        <v>53</v>
      </c>
      <c r="B17" s="248"/>
      <c r="C17" s="248"/>
      <c r="D17" s="248"/>
      <c r="E17" s="248"/>
      <c r="F17" s="248"/>
      <c r="G17" s="248"/>
      <c r="H17" s="248"/>
      <c r="I17" s="249"/>
    </row>
    <row r="18" spans="1:9" s="134" customFormat="1" ht="15" customHeight="1">
      <c r="A18" s="132" t="s">
        <v>28</v>
      </c>
      <c r="B18" s="133" t="s">
        <v>29</v>
      </c>
      <c r="C18" s="132" t="s">
        <v>24</v>
      </c>
      <c r="D18" s="132" t="s">
        <v>30</v>
      </c>
      <c r="E18" s="132" t="s">
        <v>35</v>
      </c>
      <c r="F18" s="255" t="s">
        <v>31</v>
      </c>
      <c r="G18" s="255"/>
      <c r="H18" s="255"/>
      <c r="I18" s="133" t="s">
        <v>22</v>
      </c>
    </row>
    <row r="19" spans="1:9" s="134" customFormat="1" ht="15" customHeight="1">
      <c r="A19" s="135">
        <v>1</v>
      </c>
      <c r="B19" s="136" t="s">
        <v>57</v>
      </c>
      <c r="C19" s="167">
        <f>Lead!D7</f>
        <v>40</v>
      </c>
      <c r="D19" s="137">
        <v>274</v>
      </c>
      <c r="E19" s="138">
        <v>58.71</v>
      </c>
      <c r="F19" s="279">
        <f>C19-5</f>
        <v>35</v>
      </c>
      <c r="G19" s="139">
        <v>5.41</v>
      </c>
      <c r="H19" s="137">
        <f>G19*F19</f>
        <v>189.35</v>
      </c>
      <c r="I19" s="137">
        <f>H19+E19+D19</f>
        <v>522.05999999999995</v>
      </c>
    </row>
    <row r="20" spans="1:9" s="134" customFormat="1" ht="15" customHeight="1">
      <c r="A20" s="135">
        <v>2</v>
      </c>
      <c r="B20" s="136" t="s">
        <v>75</v>
      </c>
      <c r="C20" s="167">
        <f>Lead!D11</f>
        <v>5</v>
      </c>
      <c r="D20" s="137">
        <v>149.63</v>
      </c>
      <c r="E20" s="132">
        <v>58.71</v>
      </c>
      <c r="F20" s="137">
        <v>0</v>
      </c>
      <c r="G20" s="140">
        <v>0</v>
      </c>
      <c r="H20" s="137">
        <f>TRUNC((G20*F20),2)</f>
        <v>0</v>
      </c>
      <c r="I20" s="137">
        <f>H20+E20+D20</f>
        <v>208.34</v>
      </c>
    </row>
    <row r="21" spans="1:9" ht="15">
      <c r="A21" s="141"/>
      <c r="B21" s="45"/>
      <c r="C21" s="142"/>
      <c r="D21" s="139"/>
      <c r="E21" s="143"/>
      <c r="F21" s="139"/>
      <c r="G21" s="144"/>
      <c r="H21" s="139"/>
      <c r="I21" s="139"/>
    </row>
    <row r="22" spans="1:9" ht="15">
      <c r="A22" s="145"/>
      <c r="B22" s="45"/>
      <c r="C22" s="146"/>
      <c r="E22" s="147" t="s">
        <v>74</v>
      </c>
      <c r="F22" s="139"/>
      <c r="G22" s="144"/>
      <c r="H22" s="245" t="s">
        <v>58</v>
      </c>
      <c r="I22" s="245"/>
    </row>
    <row r="23" spans="1:9" ht="15.75" customHeight="1">
      <c r="A23" s="252" t="s">
        <v>47</v>
      </c>
      <c r="B23" s="252"/>
      <c r="C23" s="252"/>
      <c r="D23" s="252"/>
      <c r="E23" s="148">
        <v>6.5</v>
      </c>
      <c r="F23" s="139"/>
      <c r="G23" s="144"/>
      <c r="H23" s="149">
        <v>5.85</v>
      </c>
      <c r="I23" s="150"/>
    </row>
    <row r="24" spans="1:9" ht="15">
      <c r="A24" s="251" t="s">
        <v>48</v>
      </c>
      <c r="B24" s="251"/>
      <c r="C24" s="251"/>
      <c r="D24" s="251"/>
      <c r="E24" s="148">
        <v>5.86</v>
      </c>
      <c r="F24" s="139"/>
      <c r="G24" s="144"/>
      <c r="H24" s="149">
        <v>5.27</v>
      </c>
      <c r="I24" s="150"/>
    </row>
    <row r="25" spans="1:9">
      <c r="A25" s="251" t="s">
        <v>49</v>
      </c>
      <c r="B25" s="251"/>
      <c r="C25" s="251"/>
      <c r="D25" s="251"/>
      <c r="E25" s="148">
        <v>5.41</v>
      </c>
      <c r="F25" s="151"/>
      <c r="G25" s="151"/>
      <c r="H25" s="149">
        <v>4.87</v>
      </c>
      <c r="I25" s="150"/>
    </row>
    <row r="26" spans="1:9">
      <c r="A26" s="251" t="s">
        <v>50</v>
      </c>
      <c r="B26" s="251"/>
      <c r="C26" s="251"/>
      <c r="D26" s="251"/>
      <c r="E26" s="148">
        <v>5.35</v>
      </c>
      <c r="F26" s="151"/>
      <c r="G26" s="151"/>
      <c r="H26" s="149">
        <v>4.82</v>
      </c>
      <c r="I26" s="150"/>
    </row>
    <row r="27" spans="1:9">
      <c r="A27" s="251" t="s">
        <v>51</v>
      </c>
      <c r="B27" s="251"/>
      <c r="C27" s="251"/>
      <c r="D27" s="251"/>
      <c r="E27" s="148">
        <v>5.96</v>
      </c>
      <c r="F27" s="152"/>
      <c r="G27" s="152"/>
      <c r="H27" s="149">
        <v>5.36</v>
      </c>
      <c r="I27" s="150"/>
    </row>
    <row r="28" spans="1:9">
      <c r="A28" s="153"/>
      <c r="B28" s="153"/>
      <c r="C28" s="153"/>
      <c r="D28" s="153"/>
      <c r="E28" s="154"/>
      <c r="F28" s="24"/>
      <c r="G28" s="24"/>
      <c r="H28" s="150"/>
      <c r="I28" s="150"/>
    </row>
    <row r="29" spans="1:9" ht="15.6">
      <c r="A29" s="253" t="s">
        <v>97</v>
      </c>
      <c r="B29" s="253"/>
      <c r="C29" s="253"/>
      <c r="D29" s="253"/>
      <c r="E29" s="253"/>
      <c r="F29" s="253"/>
      <c r="G29" s="253"/>
      <c r="H29" s="150"/>
      <c r="I29" s="150"/>
    </row>
    <row r="30" spans="1:9" ht="39.6">
      <c r="A30" s="155" t="s">
        <v>98</v>
      </c>
      <c r="B30" s="155" t="s">
        <v>99</v>
      </c>
      <c r="C30" s="156" t="s">
        <v>100</v>
      </c>
      <c r="D30" s="155"/>
      <c r="E30" s="155" t="s">
        <v>101</v>
      </c>
      <c r="F30" s="155"/>
      <c r="G30" s="155" t="s">
        <v>22</v>
      </c>
      <c r="H30" s="150"/>
      <c r="I30" s="150"/>
    </row>
    <row r="31" spans="1:9">
      <c r="A31" s="155">
        <v>1</v>
      </c>
      <c r="B31" s="155" t="s">
        <v>102</v>
      </c>
      <c r="C31" s="157">
        <v>0</v>
      </c>
      <c r="D31" s="157" t="s">
        <v>36</v>
      </c>
      <c r="E31" s="157">
        <v>578</v>
      </c>
      <c r="F31" s="157" t="s">
        <v>68</v>
      </c>
      <c r="G31" s="155">
        <f t="shared" ref="G31:G40" si="0">C31*E31</f>
        <v>0</v>
      </c>
      <c r="H31" s="24"/>
      <c r="I31" s="24"/>
    </row>
    <row r="32" spans="1:9" ht="15.75" customHeight="1">
      <c r="A32" s="158">
        <v>2</v>
      </c>
      <c r="B32" s="158" t="s">
        <v>103</v>
      </c>
      <c r="C32" s="157">
        <v>1</v>
      </c>
      <c r="D32" s="157" t="s">
        <v>36</v>
      </c>
      <c r="E32" s="157">
        <v>388</v>
      </c>
      <c r="F32" s="157" t="s">
        <v>68</v>
      </c>
      <c r="G32" s="155">
        <f t="shared" si="0"/>
        <v>388</v>
      </c>
      <c r="I32" s="24"/>
    </row>
    <row r="33" spans="1:8">
      <c r="A33" s="158">
        <v>3</v>
      </c>
      <c r="B33" s="158" t="s">
        <v>104</v>
      </c>
      <c r="C33" s="157">
        <v>0</v>
      </c>
      <c r="D33" s="157" t="s">
        <v>36</v>
      </c>
      <c r="E33" s="157">
        <v>788</v>
      </c>
      <c r="F33" s="157" t="s">
        <v>68</v>
      </c>
      <c r="G33" s="155">
        <f t="shared" si="0"/>
        <v>0</v>
      </c>
    </row>
    <row r="34" spans="1:8" ht="15.75" customHeight="1">
      <c r="A34" s="158">
        <v>4</v>
      </c>
      <c r="B34" s="158" t="s">
        <v>105</v>
      </c>
      <c r="C34" s="157">
        <v>0</v>
      </c>
      <c r="D34" s="157" t="s">
        <v>36</v>
      </c>
      <c r="E34" s="157">
        <v>238</v>
      </c>
      <c r="F34" s="157" t="s">
        <v>68</v>
      </c>
      <c r="G34" s="155">
        <f t="shared" si="0"/>
        <v>0</v>
      </c>
    </row>
    <row r="35" spans="1:8">
      <c r="A35" s="158">
        <v>5</v>
      </c>
      <c r="B35" s="158" t="s">
        <v>106</v>
      </c>
      <c r="C35" s="157">
        <v>0</v>
      </c>
      <c r="D35" s="157" t="s">
        <v>36</v>
      </c>
      <c r="E35" s="157">
        <v>546</v>
      </c>
      <c r="F35" s="157" t="s">
        <v>68</v>
      </c>
      <c r="G35" s="155">
        <f t="shared" si="0"/>
        <v>0</v>
      </c>
    </row>
    <row r="36" spans="1:8">
      <c r="A36" s="158">
        <v>6</v>
      </c>
      <c r="B36" s="158" t="s">
        <v>107</v>
      </c>
      <c r="C36" s="157">
        <v>0</v>
      </c>
      <c r="D36" s="157" t="s">
        <v>36</v>
      </c>
      <c r="E36" s="157">
        <v>696</v>
      </c>
      <c r="F36" s="157" t="s">
        <v>68</v>
      </c>
      <c r="G36" s="155">
        <f t="shared" si="0"/>
        <v>0</v>
      </c>
    </row>
    <row r="37" spans="1:8">
      <c r="A37" s="158">
        <v>7</v>
      </c>
      <c r="B37" s="159" t="s">
        <v>108</v>
      </c>
      <c r="C37" s="160">
        <v>1</v>
      </c>
      <c r="D37" s="160" t="s">
        <v>36</v>
      </c>
      <c r="E37" s="157">
        <v>220</v>
      </c>
      <c r="F37" s="157" t="s">
        <v>68</v>
      </c>
      <c r="G37" s="155">
        <f t="shared" si="0"/>
        <v>220</v>
      </c>
    </row>
    <row r="38" spans="1:8">
      <c r="A38" s="158">
        <v>8</v>
      </c>
      <c r="B38" s="159" t="s">
        <v>109</v>
      </c>
      <c r="C38" s="160">
        <v>0</v>
      </c>
      <c r="D38" s="160" t="s">
        <v>36</v>
      </c>
      <c r="E38" s="157">
        <v>294</v>
      </c>
      <c r="F38" s="157" t="s">
        <v>68</v>
      </c>
      <c r="G38" s="155">
        <f t="shared" si="0"/>
        <v>0</v>
      </c>
    </row>
    <row r="39" spans="1:8">
      <c r="A39" s="158">
        <v>9</v>
      </c>
      <c r="B39" s="159" t="s">
        <v>110</v>
      </c>
      <c r="C39" s="160">
        <v>0</v>
      </c>
      <c r="D39" s="160" t="s">
        <v>36</v>
      </c>
      <c r="E39" s="157">
        <v>300</v>
      </c>
      <c r="F39" s="157" t="s">
        <v>68</v>
      </c>
      <c r="G39" s="155">
        <f t="shared" si="0"/>
        <v>0</v>
      </c>
    </row>
    <row r="40" spans="1:8">
      <c r="A40" s="158">
        <v>10</v>
      </c>
      <c r="B40" s="159" t="s">
        <v>111</v>
      </c>
      <c r="C40" s="160">
        <v>0</v>
      </c>
      <c r="D40" s="160" t="s">
        <v>36</v>
      </c>
      <c r="E40" s="157">
        <v>300</v>
      </c>
      <c r="F40" s="157" t="s">
        <v>68</v>
      </c>
      <c r="G40" s="155">
        <f t="shared" si="0"/>
        <v>0</v>
      </c>
    </row>
    <row r="41" spans="1:8">
      <c r="A41" s="158"/>
      <c r="B41" s="161"/>
      <c r="C41" s="161"/>
      <c r="D41" s="161"/>
      <c r="E41" s="161"/>
      <c r="F41" s="161"/>
      <c r="G41" s="162">
        <f>SUM(G31:G40)</f>
        <v>608</v>
      </c>
    </row>
    <row r="43" spans="1:8" ht="21">
      <c r="A43" s="250" t="s">
        <v>116</v>
      </c>
      <c r="B43" s="250"/>
      <c r="C43" s="250"/>
      <c r="D43" s="250"/>
      <c r="E43" s="250"/>
      <c r="F43" s="250"/>
      <c r="G43" s="250"/>
      <c r="H43" s="250"/>
    </row>
    <row r="52" spans="7:9" ht="15">
      <c r="G52" s="163" t="s">
        <v>78</v>
      </c>
      <c r="H52" s="163"/>
      <c r="I52" s="163"/>
    </row>
    <row r="53" spans="7:9" ht="15">
      <c r="G53" s="164" t="s">
        <v>82</v>
      </c>
      <c r="H53" s="164"/>
      <c r="I53" s="164"/>
    </row>
    <row r="54" spans="7:9" ht="15">
      <c r="G54" s="276" t="str">
        <f>Abstract!A28</f>
        <v>THASRA</v>
      </c>
      <c r="H54" s="165"/>
      <c r="I54" s="165"/>
    </row>
  </sheetData>
  <mergeCells count="28">
    <mergeCell ref="A16:B16"/>
    <mergeCell ref="E5:H5"/>
    <mergeCell ref="B1:I1"/>
    <mergeCell ref="A9:H9"/>
    <mergeCell ref="A7:C7"/>
    <mergeCell ref="E8:H8"/>
    <mergeCell ref="A8:C8"/>
    <mergeCell ref="E7:H7"/>
    <mergeCell ref="A2:H2"/>
    <mergeCell ref="A3:H3"/>
    <mergeCell ref="A4:H4"/>
    <mergeCell ref="E6:H6"/>
    <mergeCell ref="H22:I22"/>
    <mergeCell ref="A12:H12"/>
    <mergeCell ref="A10:H10"/>
    <mergeCell ref="A17:I17"/>
    <mergeCell ref="A43:H43"/>
    <mergeCell ref="A26:D26"/>
    <mergeCell ref="A23:D23"/>
    <mergeCell ref="A24:D24"/>
    <mergeCell ref="A25:D25"/>
    <mergeCell ref="A27:D27"/>
    <mergeCell ref="A29:G29"/>
    <mergeCell ref="A13:H13"/>
    <mergeCell ref="A11:C11"/>
    <mergeCell ref="C16:I16"/>
    <mergeCell ref="E11:H11"/>
    <mergeCell ref="F18:H18"/>
  </mergeCells>
  <phoneticPr fontId="0" type="noConversion"/>
  <pageMargins left="0.78" right="0.5" top="1" bottom="0.69" header="0.5" footer="0.5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Estimate</vt:lpstr>
      <vt:lpstr>Abstract</vt:lpstr>
      <vt:lpstr>Measurement</vt:lpstr>
      <vt:lpstr>Lead</vt:lpstr>
      <vt:lpstr>Abstract!Print_Area</vt:lpstr>
      <vt:lpstr>Estimate!Print_Area</vt:lpstr>
      <vt:lpstr>Lead!Print_Area</vt:lpstr>
      <vt:lpstr>Measurement!Print_Area</vt:lpstr>
      <vt:lpstr>Abstract!Print_Titles</vt:lpstr>
    </vt:vector>
  </TitlesOfParts>
  <Company>PATEL ENGINEERS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DIVYAKANT</dc:creator>
  <cp:lastModifiedBy>Admin</cp:lastModifiedBy>
  <cp:lastPrinted>2025-12-23T10:38:36Z</cp:lastPrinted>
  <dcterms:created xsi:type="dcterms:W3CDTF">2005-03-18T12:02:53Z</dcterms:created>
  <dcterms:modified xsi:type="dcterms:W3CDTF">2026-09-14T14:22:44Z</dcterms:modified>
</cp:coreProperties>
</file>