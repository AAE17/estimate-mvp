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defaultThemeVersion="124226"/>
  <mc:AlternateContent xmlns:mc="http://schemas.openxmlformats.org/markup-compatibility/2006">
    <mc:Choice Requires="x15">
      <x15ac:absPath xmlns:x15ac="http://schemas.microsoft.com/office/spreadsheetml/2010/11/ac" url="D:\SO+\ashok\"/>
    </mc:Choice>
  </mc:AlternateContent>
  <xr:revisionPtr revIDLastSave="0" documentId="13_ncr:1_{259213DC-D727-4770-BE66-77466C767490}" xr6:coauthVersionLast="47" xr6:coauthVersionMax="47" xr10:uidLastSave="{00000000-0000-0000-0000-000000000000}"/>
  <bookViews>
    <workbookView xWindow="-120" yWindow="-120" windowWidth="29040" windowHeight="15720" activeTab="1" xr2:uid="{00000000-000D-0000-FFFF-FFFF00000000}"/>
  </bookViews>
  <sheets>
    <sheet name="Estimate" sheetId="30" r:id="rId1"/>
    <sheet name="Abstract" sheetId="9" r:id="rId2"/>
    <sheet name="Measurement" sheetId="42" r:id="rId3"/>
    <sheet name="TEST-SITE" sheetId="33" r:id="rId4"/>
  </sheets>
  <externalReferences>
    <externalReference r:id="rId5"/>
  </externalReferences>
  <definedNames>
    <definedName name="_nmw1">[1]lead!$B$2</definedName>
    <definedName name="_xlnm.Print_Area" localSheetId="1">Abstract!$A$1:$F$47</definedName>
    <definedName name="_xlnm.Print_Area" localSheetId="0">Estimate!$A$1:$I$40</definedName>
    <definedName name="_xlnm.Print_Area" localSheetId="2">Measurement!$A$1:$L$64</definedName>
    <definedName name="_xlnm.Print_Area" localSheetId="3">'TEST-SITE'!$A$1:$I$36</definedName>
    <definedName name="_xlnm.Print_Titles" localSheetId="1">Abstract!$3:$3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 i="42" l="1"/>
  <c r="K5" i="42"/>
  <c r="H7" i="9"/>
  <c r="H6" i="9"/>
  <c r="H5" i="9"/>
  <c r="I11" i="42"/>
  <c r="I14" i="42"/>
  <c r="I13" i="42"/>
  <c r="I12" i="42"/>
  <c r="I10" i="42"/>
  <c r="I9" i="42"/>
  <c r="K14" i="42"/>
  <c r="K12" i="42"/>
  <c r="K10" i="42"/>
  <c r="K9" i="42"/>
  <c r="K11" i="42"/>
  <c r="K36" i="42"/>
  <c r="A27" i="9" s="1"/>
  <c r="K13" i="42"/>
  <c r="F43" i="9"/>
  <c r="G58" i="42"/>
  <c r="K46" i="42"/>
  <c r="A29" i="9"/>
  <c r="A28" i="9"/>
  <c r="K62" i="42"/>
  <c r="K63" i="42" s="1"/>
  <c r="A38" i="9" s="1"/>
  <c r="F38" i="9" s="1"/>
  <c r="A61" i="42"/>
  <c r="E58" i="42"/>
  <c r="K58" i="42" s="1"/>
  <c r="K59" i="42" s="1"/>
  <c r="A36" i="9" s="1"/>
  <c r="F36" i="9" s="1"/>
  <c r="A57" i="42"/>
  <c r="A53" i="42"/>
  <c r="I48" i="42"/>
  <c r="I47" i="42"/>
  <c r="I46" i="42"/>
  <c r="I45" i="42"/>
  <c r="I44" i="42"/>
  <c r="I43" i="42"/>
  <c r="G48" i="42"/>
  <c r="K48" i="42" s="1"/>
  <c r="G47" i="42"/>
  <c r="G46" i="42"/>
  <c r="G45" i="42"/>
  <c r="G44" i="42"/>
  <c r="K44" i="42" s="1"/>
  <c r="G43" i="42"/>
  <c r="K43" i="42" s="1"/>
  <c r="A40" i="42"/>
  <c r="K38" i="42"/>
  <c r="K37" i="42"/>
  <c r="K35" i="42"/>
  <c r="A34" i="42"/>
  <c r="A26" i="42"/>
  <c r="E24" i="42"/>
  <c r="K24" i="42" s="1"/>
  <c r="A15" i="9" s="1"/>
  <c r="F15" i="9" s="1"/>
  <c r="E23" i="42"/>
  <c r="E31" i="42" s="1"/>
  <c r="E22" i="42"/>
  <c r="E30" i="42" s="1"/>
  <c r="E21" i="42"/>
  <c r="K21" i="42" s="1"/>
  <c r="A12" i="9" s="1"/>
  <c r="F12" i="9" s="1"/>
  <c r="E20" i="42"/>
  <c r="K20" i="42" s="1"/>
  <c r="A11" i="9" s="1"/>
  <c r="F11" i="9" s="1"/>
  <c r="E19" i="42"/>
  <c r="K19" i="42" s="1"/>
  <c r="A10" i="9" s="1"/>
  <c r="F10" i="9" s="1"/>
  <c r="C24" i="42"/>
  <c r="C32" i="42" s="1"/>
  <c r="C23" i="42"/>
  <c r="C31" i="42" s="1"/>
  <c r="C22" i="42"/>
  <c r="C30" i="42" s="1"/>
  <c r="C21" i="42"/>
  <c r="C29" i="42" s="1"/>
  <c r="C20" i="42"/>
  <c r="C28" i="42" s="1"/>
  <c r="C19" i="42"/>
  <c r="C27" i="42" s="1"/>
  <c r="A18" i="42"/>
  <c r="A8" i="42"/>
  <c r="A4" i="42"/>
  <c r="E38" i="9"/>
  <c r="E36" i="9"/>
  <c r="E35" i="9"/>
  <c r="E34" i="9"/>
  <c r="E23" i="9"/>
  <c r="E22" i="9"/>
  <c r="E21" i="9"/>
  <c r="E20" i="9"/>
  <c r="E19" i="9"/>
  <c r="E18" i="9"/>
  <c r="E29" i="9"/>
  <c r="E28" i="9"/>
  <c r="E27" i="9"/>
  <c r="E26" i="9"/>
  <c r="K15" i="42" l="1"/>
  <c r="K16" i="42" s="1"/>
  <c r="K42" i="42" s="1"/>
  <c r="G50" i="42" s="1"/>
  <c r="K47" i="42"/>
  <c r="E54" i="42"/>
  <c r="K54" i="42" s="1"/>
  <c r="A34" i="9" s="1"/>
  <c r="F34" i="9" s="1"/>
  <c r="A26" i="9"/>
  <c r="F26" i="9" s="1"/>
  <c r="K45" i="42"/>
  <c r="K49" i="42" s="1"/>
  <c r="K30" i="42"/>
  <c r="A21" i="9" s="1"/>
  <c r="K31" i="42"/>
  <c r="A22" i="9" s="1"/>
  <c r="E27" i="42"/>
  <c r="K27" i="42" s="1"/>
  <c r="A18" i="9" s="1"/>
  <c r="E28" i="42"/>
  <c r="K28" i="42" s="1"/>
  <c r="A19" i="9" s="1"/>
  <c r="F19" i="9" s="1"/>
  <c r="E29" i="42"/>
  <c r="K29" i="42" s="1"/>
  <c r="A20" i="9" s="1"/>
  <c r="F20" i="9" s="1"/>
  <c r="E32" i="42"/>
  <c r="K32" i="42" s="1"/>
  <c r="A23" i="9" s="1"/>
  <c r="F23" i="9" s="1"/>
  <c r="K22" i="42"/>
  <c r="A13" i="9" s="1"/>
  <c r="F13" i="9" s="1"/>
  <c r="K23" i="42"/>
  <c r="A14" i="9" s="1"/>
  <c r="F14" i="9" s="1"/>
  <c r="F28" i="9"/>
  <c r="F27" i="9"/>
  <c r="F29" i="9"/>
  <c r="D29" i="30"/>
  <c r="A6" i="9" l="1"/>
  <c r="F22" i="9"/>
  <c r="F18" i="9"/>
  <c r="E55" i="42"/>
  <c r="K55" i="42" s="1"/>
  <c r="A35" i="9" s="1"/>
  <c r="F35" i="9" s="1"/>
  <c r="F21" i="9"/>
  <c r="I50" i="42"/>
  <c r="G40" i="30"/>
  <c r="A46" i="9" s="1"/>
  <c r="G36" i="33" s="1"/>
  <c r="G14" i="33"/>
  <c r="G13" i="33"/>
  <c r="G12" i="33"/>
  <c r="G11" i="33"/>
  <c r="G10" i="33"/>
  <c r="G9" i="33"/>
  <c r="G8" i="33"/>
  <c r="G7" i="33"/>
  <c r="G6" i="33"/>
  <c r="G5" i="33"/>
  <c r="E30" i="9"/>
  <c r="A2" i="9"/>
  <c r="A2" i="42" s="1"/>
  <c r="C29" i="30"/>
  <c r="C2" i="42"/>
  <c r="E6" i="9"/>
  <c r="C2" i="9"/>
  <c r="B1" i="33" s="1"/>
  <c r="G15" i="33" l="1"/>
  <c r="D31" i="9" s="1"/>
  <c r="K50" i="42"/>
  <c r="K51" i="42" s="1"/>
  <c r="A30" i="9" s="1"/>
  <c r="F30" i="9" s="1"/>
  <c r="A1" i="33"/>
  <c r="A4" i="9" l="1"/>
  <c r="F6" i="9" l="1"/>
  <c r="F4" i="9"/>
  <c r="F40" i="9" l="1"/>
  <c r="F41" i="9" l="1"/>
  <c r="F42" i="9" s="1"/>
</calcChain>
</file>

<file path=xl/sharedStrings.xml><?xml version="1.0" encoding="utf-8"?>
<sst xmlns="http://schemas.openxmlformats.org/spreadsheetml/2006/main" count="353" uniqueCount="131">
  <si>
    <t xml:space="preserve">Estimate checked by:  </t>
  </si>
  <si>
    <t>QTY.</t>
  </si>
  <si>
    <t>ITEM</t>
  </si>
  <si>
    <t>PER</t>
  </si>
  <si>
    <t>AMOUNT</t>
  </si>
  <si>
    <t>1. Division</t>
  </si>
  <si>
    <t>2. Sub-Division</t>
  </si>
  <si>
    <t>3. Sanctioned Estimate No:</t>
  </si>
  <si>
    <t>4. Fund Head:</t>
  </si>
  <si>
    <t>5. Major Head:</t>
  </si>
  <si>
    <t>6. Minor Head:</t>
  </si>
  <si>
    <t>7. Serviceable Head:</t>
  </si>
  <si>
    <t>8. Departmental Head:</t>
  </si>
  <si>
    <t xml:space="preserve"> Amounting to Rs.</t>
  </si>
  <si>
    <t xml:space="preserve">Administrative approval No.:   </t>
  </si>
  <si>
    <t xml:space="preserve"> Date :</t>
  </si>
  <si>
    <t>&amp; Technically sanctioned under No.:</t>
  </si>
  <si>
    <t xml:space="preserve"> Date:</t>
  </si>
  <si>
    <t>Call or Authority:</t>
  </si>
  <si>
    <t>Amount</t>
  </si>
  <si>
    <t>Say</t>
  </si>
  <si>
    <t>Total</t>
  </si>
  <si>
    <t>Estimate prepared by</t>
  </si>
  <si>
    <t>:</t>
  </si>
  <si>
    <t>Say  Rs.</t>
  </si>
  <si>
    <t>x</t>
  </si>
  <si>
    <t>Rmt</t>
  </si>
  <si>
    <t>Cum</t>
  </si>
  <si>
    <t>Smt</t>
  </si>
  <si>
    <t>UNIT</t>
  </si>
  <si>
    <t>No</t>
  </si>
  <si>
    <t xml:space="preserve"> RATE INCL.1% LABOUR CESS</t>
  </si>
  <si>
    <t xml:space="preserve">MEASUREMENT  SHEET </t>
  </si>
  <si>
    <t>ABSTRACT SHEET</t>
  </si>
  <si>
    <t>=</t>
  </si>
  <si>
    <t>Cmt</t>
  </si>
  <si>
    <t>A.A.E.</t>
  </si>
  <si>
    <t>TALUKA PANCHAYAT</t>
  </si>
  <si>
    <t xml:space="preserve">SR. NO. </t>
  </si>
  <si>
    <t>ADD. ASST. ENGINEER</t>
  </si>
  <si>
    <t xml:space="preserve">કામ નું નામ :- </t>
  </si>
  <si>
    <t>Sr. No</t>
  </si>
  <si>
    <t>Item</t>
  </si>
  <si>
    <t>No of testing required</t>
  </si>
  <si>
    <t>Approved Rate</t>
  </si>
  <si>
    <t>Bricks</t>
  </si>
  <si>
    <t>Sand</t>
  </si>
  <si>
    <t>Cement</t>
  </si>
  <si>
    <t>Cube</t>
  </si>
  <si>
    <t>B.T.Kapchi</t>
  </si>
  <si>
    <t>Metal</t>
  </si>
  <si>
    <t>Paving Blocks</t>
  </si>
  <si>
    <t>Steel</t>
  </si>
  <si>
    <t>Pipe Line</t>
  </si>
  <si>
    <t xml:space="preserve">Gutter Pipe </t>
  </si>
  <si>
    <t>Add 18% GST</t>
  </si>
  <si>
    <t>SITE PLAN</t>
  </si>
  <si>
    <t>૧૫ % વિવેકાધીન વર્ષ ૨૦૨૬-૨૭.</t>
  </si>
  <si>
    <t>જા.નંબર/વશી-                       તા.       /૦૩/૨૦૨૬.</t>
  </si>
  <si>
    <t>ESTIMATE</t>
  </si>
  <si>
    <t>R &amp; B (P) DIV.</t>
  </si>
  <si>
    <t>JILLA PANCHAYAT</t>
  </si>
  <si>
    <t>R &amp; B (P) SUB DIV.</t>
  </si>
  <si>
    <t xml:space="preserve">DEE ATVT PRANT </t>
  </si>
  <si>
    <t>NANI SINCHAI (P) SUB DIV</t>
  </si>
  <si>
    <t xml:space="preserve">Estimated framed in the office of the Taluka Development Officer, Taluka Panchyat,  </t>
  </si>
  <si>
    <t>for the expenses that will be incurred in the Work Of</t>
  </si>
  <si>
    <t>Taluka Panchayat</t>
  </si>
  <si>
    <t>G.W.S.S.B.S.O.R. P:- 32 Sec.1 &amp; 2(B) I.No. 1 (a)</t>
  </si>
  <si>
    <t>G.W.S.S.B.S.O.R.  P:- 14 Sec 1&amp;2 (A) I.No. 10.1.B</t>
  </si>
  <si>
    <t>(1)  225 mm. Dia R.C.C. Pipe</t>
  </si>
  <si>
    <t>(2)  300 mm. Dia R.C.C. Pipe</t>
  </si>
  <si>
    <t>(3)  450 mm. Dia R.C.C. Pipe</t>
  </si>
  <si>
    <t>(4) 600 mm Dia R.C.C. Pipe</t>
  </si>
  <si>
    <t>(5) 900 mm Dia. R.C.C. Pipe</t>
  </si>
  <si>
    <t>(6) 1200 mm Dia. R.C.C. Pipe</t>
  </si>
  <si>
    <t>Item No :- 4 Lowing laying &amp; joining R.C.C. pipes in C.M. 1:1 1/2 of follwing diameter in proper position garde aligment as directed by Engg. Incl. Conveyance from store to site of work labour giving hydraulic testing as per ISI code etc. comple incl.</t>
  </si>
  <si>
    <t>G.W.S.S.B.S.O.R. P:- 39 Sec 1&amp;2  (B)  I.No. 11.b</t>
  </si>
  <si>
    <t>Item No:- 5 Constructing of  valve chambers in brick or bela stone masonary, locally available in C.M. 1:6. Foundation concrete 150 mm thick in C.C. 1:4:8 of trap metal size 25 mm to 40 mm thick, inside cement plater in C.M. 1:3 and cement pointing outside in C.M. 1:3 and top  cover of precast RCC slab 100 mm thick (with key hole in two parts, each with handles or MS Bar etc. comp.e as given size) Upto 1 Mt. depth from G.L. to pipe invert level incl. complete civil works but excluding cost of excavation and refilling. With cast in situ RCC slab in one single piece with fixing of CI - MH Frame and cover (excl. cost of CI -MH Frame &amp; cover) with 23 mm thick brick masonary wall in C.M. 1:6.</t>
  </si>
  <si>
    <t xml:space="preserve">(S.O.R. G.W.S.B Pag No:- 101 Sec -2.d It.No:-1 C-2,D-2 </t>
  </si>
  <si>
    <t>No.</t>
  </si>
  <si>
    <t>Chamber size: 0.60 m x 0.60 m and 1.0 mt deep</t>
  </si>
  <si>
    <t>Chamber size: 0.90 m x 0.90 m and 1.0 mt deep</t>
  </si>
  <si>
    <t>Chamber size: 1.30 m x 0.90 m and 1.0 mt deep</t>
  </si>
  <si>
    <t>Chamber size: 1.30 m x 1.30 m and 1.0 mt deep</t>
  </si>
  <si>
    <t>Item No :- 6  Reflling the pipeline trencher incl. ramming watering comsolidating disposial of surplus stuff as directed withing radius of 3 K.M.</t>
  </si>
  <si>
    <t>G.W.S.S.B.S.O.R. P:- 40 Sec 1&amp;2 B I.No. 14</t>
  </si>
  <si>
    <t xml:space="preserve">Item No:- 7  R.C.C. precast M.H.Frame &amp; Cover Manufacture, supply &amp; Delivery at store or at site  of work precast R.C.C. M.200 Frame &amp; cover suitable to drainage M.H. and as per type design  &amp; Drawing including cost of reinforcement M.S.Angle or Flate, curring mold work etc.
(A) Heavy Duty  </t>
  </si>
  <si>
    <t xml:space="preserve">(1) Frame suitable for 50 cm opening of M.H. </t>
  </si>
  <si>
    <t xml:space="preserve">(2) Cover suitable for 50 cm opening of M.H. </t>
  </si>
  <si>
    <t>G.W.S.S.B.S.O.R. P:- 16 Sec 1&amp;2 A I.No. 10.4(a)1&amp;2</t>
  </si>
  <si>
    <t xml:space="preserve">Item No. 8  Providing and laying cement concrete 1:2:4 (1- Cement : 2- Coarse sand : 4- graded  stone aggregates 20 mm nominal size) and curing complete excluding cost of formwork in (A) Foundation and Plinth </t>
  </si>
  <si>
    <t>R&amp;B S.O.R. it no 05010AA+1 % labour cess= 3616.15+36.16=3652.31</t>
  </si>
  <si>
    <t xml:space="preserve">Item No. 9  Providing and fixing Number plate of marble stone of requiered size set in C.M. 1:4  etc. comp.         </t>
  </si>
  <si>
    <t xml:space="preserve"> ( R &amp; B  Sor P. 130 C No 26087 + 1% labour cess = 303.11+3.03=306.14)   </t>
  </si>
  <si>
    <t>L</t>
  </si>
  <si>
    <t>W</t>
  </si>
  <si>
    <t>D</t>
  </si>
  <si>
    <t>Item No :- 2  Excatation for pipe line trenches incl. all safety provision using site rails &amp; stacking excavated stuff up to a lead of 90 M. cleaing the site etc. complete for lift &amp; strata as specified.(A) in all sorts of soil and soft murrum (a) Upto 1.5 mt. depth</t>
  </si>
  <si>
    <t>(1) 225 mm dia.</t>
  </si>
  <si>
    <t>X</t>
  </si>
  <si>
    <t>(2) 300 mm dia.</t>
  </si>
  <si>
    <t>"</t>
  </si>
  <si>
    <t>(3) 450 mm dia.</t>
  </si>
  <si>
    <t>(4) 600 mm dia.</t>
  </si>
  <si>
    <t>(5) 900 mm dia.</t>
  </si>
  <si>
    <t>(6) 1200 mm dia.</t>
  </si>
  <si>
    <t>Item No :- 3   Providing &amp; supplying ISI standard R.C.C. pipe (or Sulphate Resistance cement) in standard length of following class &amp; diameter suitable for either collar joints or rubber ring joints  including  all taxes, insurance, transportation, freight charges, octroi, inspection charges,loading, unloading, conveyance to departmental stores, stacking etc. comp.    ( IS - 458 / 1989 ) for following dia.d) Class NP2 Test Pressure, 0.7 Kg/sq.cm</t>
  </si>
  <si>
    <t>Rmt.</t>
  </si>
  <si>
    <t>(2) 0.90x0.90x1.00 mt deep</t>
  </si>
  <si>
    <t>(1) 0.60x0.60x1.00 mt deep</t>
  </si>
  <si>
    <t>(3) 1.30x0.90x1.00 mt deep</t>
  </si>
  <si>
    <t>(4) 1.30x1.30x1.00 mt deep</t>
  </si>
  <si>
    <t>Deduction</t>
  </si>
  <si>
    <t>Excavated Qty.</t>
  </si>
  <si>
    <t>Cmt.</t>
  </si>
  <si>
    <t>(2) 450 mm dia.</t>
  </si>
  <si>
    <t>Total Qty</t>
  </si>
  <si>
    <t>Net Qty.</t>
  </si>
  <si>
    <t>-</t>
  </si>
  <si>
    <t>(1) Frame</t>
  </si>
  <si>
    <t>(2) Cover</t>
  </si>
  <si>
    <t>આ કામ ઉપરોક્ત યોજના હેઠળ મંજૂર થયેલ છે. જે અનવયે સ્થળ સ્થિતિની તપાસ કરીને ગુ. પા. પૂ. અને ગટર વ્યવસ્થા બોર્ડ તેમજ મા. અને મ. વિભાગના પ્રવર્તમાન S.O.R. ના ભાવો મુજબ અંદાજપત્ર તૈયાર કરવામાં આવેલ છે. આ કમના નકશા-અંદાજમાં સ્થળ સ્થિતિ મુજબ ખોદાણ , પાઇપ પ્રોવાઈડ કરી ને ઉતારવી , ચેમ્બર , ફ્રેમ , કવર સાથે તથા તકતીની આઈટમનો સમાવેશ કરેલ છે.</t>
  </si>
  <si>
    <t xml:space="preserve">સામાન્ય વર્ણન અને સૈદ્ધાંતિક મંજૂરીની વિગતો. </t>
  </si>
  <si>
    <t>SCHEUDULE OF TESTING</t>
  </si>
  <si>
    <t>VASO</t>
  </si>
  <si>
    <t>NADIAD</t>
  </si>
  <si>
    <t xml:space="preserve">વસો ગામે ગામની મુખ્ય ગટર લાઇનનું કામ. </t>
  </si>
  <si>
    <t>Shree A.G.SUTHAR. A.A.E.</t>
  </si>
  <si>
    <t>ITEM NO 1 : Demolition including stacking of serviceable materilas and disposal of unserviceable materials with all lead and lift. (i) R.C.C. work</t>
  </si>
  <si>
    <t>R&amp;B .S.O.R. P:- 127 I.No. 20002 + 1 % Labour cess (1020.60+10.21=1030.81)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</si>
</sst>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
    <numFmt numFmtId="165" formatCode="[$-7000447]0"/>
  </numFmts>
  <fonts count="39">
    <font>
      <sz val="10"/>
      <name val="Arial"/>
    </font>
    <font>
      <sz val="10"/>
      <name val="Arial"/>
    </font>
    <font>
      <sz val="10"/>
      <name val="Times New Roman"/>
      <family val="1"/>
    </font>
    <font>
      <sz val="10"/>
      <color indexed="12"/>
      <name val="Arial"/>
      <family val="2"/>
    </font>
    <font>
      <sz val="12"/>
      <color indexed="8"/>
      <name val="Arial"/>
      <family val="2"/>
    </font>
    <font>
      <sz val="10"/>
      <color indexed="8"/>
      <name val="Arial"/>
      <family val="2"/>
    </font>
    <font>
      <sz val="10"/>
      <name val="Arial"/>
      <family val="2"/>
    </font>
    <font>
      <sz val="12"/>
      <color indexed="8"/>
      <name val="Arial"/>
      <family val="2"/>
    </font>
    <font>
      <sz val="14"/>
      <color indexed="8"/>
      <name val="Arial"/>
      <family val="2"/>
    </font>
    <font>
      <sz val="12"/>
      <name val="LMG-Arun"/>
    </font>
    <font>
      <sz val="14"/>
      <name val="Gujrati Saral-1"/>
    </font>
    <font>
      <sz val="12"/>
      <name val="Times New Roman"/>
      <family val="1"/>
    </font>
    <font>
      <b/>
      <sz val="10"/>
      <name val="Verdana"/>
      <family val="2"/>
    </font>
    <font>
      <sz val="9"/>
      <color indexed="8"/>
      <name val="Arial"/>
      <family val="2"/>
    </font>
    <font>
      <sz val="14"/>
      <name val="Cambria"/>
      <family val="1"/>
      <scheme val="major"/>
    </font>
    <font>
      <sz val="10"/>
      <color theme="8"/>
      <name val="Arial"/>
      <family val="2"/>
    </font>
    <font>
      <sz val="14"/>
      <color theme="8"/>
      <name val="Arial Unicode MS"/>
      <family val="2"/>
    </font>
    <font>
      <b/>
      <sz val="12"/>
      <color theme="8"/>
      <name val="Arial"/>
      <family val="2"/>
    </font>
    <font>
      <sz val="14"/>
      <color theme="8"/>
      <name val="Arial"/>
      <family val="2"/>
    </font>
    <font>
      <b/>
      <u/>
      <sz val="16"/>
      <color theme="9"/>
      <name val="Arial"/>
      <family val="2"/>
    </font>
    <font>
      <sz val="12"/>
      <color theme="9"/>
      <name val="Arial"/>
      <family val="2"/>
    </font>
    <font>
      <sz val="10"/>
      <color theme="9"/>
      <name val="Arial"/>
      <family val="2"/>
    </font>
    <font>
      <b/>
      <sz val="12"/>
      <color theme="9"/>
      <name val="Arial"/>
      <family val="2"/>
    </font>
    <font>
      <sz val="14"/>
      <color theme="9"/>
      <name val="Arial"/>
      <family val="2"/>
    </font>
    <font>
      <sz val="14"/>
      <color theme="9"/>
      <name val="LMG-Arun"/>
    </font>
    <font>
      <sz val="14"/>
      <color theme="9"/>
      <name val="Arial Unicode MS"/>
      <family val="2"/>
    </font>
    <font>
      <b/>
      <sz val="16"/>
      <color theme="9"/>
      <name val="Times New Roman"/>
      <family val="1"/>
    </font>
    <font>
      <sz val="12"/>
      <color theme="9"/>
      <name val="Times New Roman"/>
      <family val="1"/>
    </font>
    <font>
      <b/>
      <sz val="11"/>
      <color theme="9"/>
      <name val="Arial"/>
      <family val="2"/>
    </font>
    <font>
      <sz val="10"/>
      <color theme="9"/>
      <name val="Times New Roman"/>
      <family val="1"/>
    </font>
    <font>
      <sz val="11"/>
      <color theme="9"/>
      <name val="Arial"/>
      <family val="2"/>
    </font>
    <font>
      <sz val="11"/>
      <color theme="9"/>
      <name val="Times New Roman"/>
      <family val="1"/>
    </font>
    <font>
      <b/>
      <sz val="11"/>
      <color theme="9"/>
      <name val="Times New Roman"/>
      <family val="1"/>
    </font>
    <font>
      <sz val="12"/>
      <color theme="8"/>
      <name val="Arial"/>
      <family val="2"/>
    </font>
    <font>
      <b/>
      <sz val="14"/>
      <color theme="8"/>
      <name val="Arial"/>
      <family val="2"/>
    </font>
    <font>
      <u/>
      <sz val="12"/>
      <color theme="9"/>
      <name val="Arial"/>
      <family val="2"/>
    </font>
    <font>
      <sz val="12"/>
      <color theme="8"/>
      <name val="Times New Roman"/>
      <family val="1"/>
    </font>
    <font>
      <sz val="11"/>
      <color theme="8"/>
      <name val="Arial"/>
      <family val="2"/>
    </font>
    <font>
      <b/>
      <sz val="11"/>
      <color theme="8"/>
      <name val="Arial"/>
      <family val="2"/>
    </font>
  </fonts>
  <fills count="2">
    <fill>
      <patternFill patternType="none"/>
    </fill>
    <fill>
      <patternFill patternType="gray125"/>
    </fill>
  </fills>
  <borders count="20">
    <border>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4">
    <xf numFmtId="0" fontId="0" fillId="0" borderId="0"/>
    <xf numFmtId="43" fontId="1" fillId="0" borderId="0" applyFont="0" applyFill="0" applyBorder="0" applyAlignment="0" applyProtection="0"/>
    <xf numFmtId="0" fontId="6" fillId="0" borderId="0"/>
    <xf numFmtId="0" fontId="2" fillId="0" borderId="0"/>
  </cellStyleXfs>
  <cellXfs count="255">
    <xf numFmtId="0" fontId="0" fillId="0" borderId="0" xfId="0"/>
    <xf numFmtId="0" fontId="21" fillId="0" borderId="0" xfId="0" applyFont="1"/>
    <xf numFmtId="0" fontId="20" fillId="0" borderId="0" xfId="0" applyFont="1"/>
    <xf numFmtId="2" fontId="20" fillId="0" borderId="6" xfId="1" applyNumberFormat="1" applyFont="1" applyBorder="1" applyAlignment="1" applyProtection="1">
      <alignment horizontal="center" vertical="center" wrapText="1"/>
    </xf>
    <xf numFmtId="2" fontId="33" fillId="0" borderId="0" xfId="0" applyNumberFormat="1" applyFont="1" applyAlignment="1" applyProtection="1">
      <alignment horizontal="left" vertical="center"/>
      <protection locked="0"/>
    </xf>
    <xf numFmtId="2" fontId="20" fillId="0" borderId="0" xfId="0" applyNumberFormat="1" applyFont="1" applyAlignment="1" applyProtection="1">
      <alignment horizontal="center" vertical="center"/>
      <protection locked="0"/>
    </xf>
    <xf numFmtId="43" fontId="21" fillId="0" borderId="0" xfId="1" applyFont="1" applyFill="1" applyBorder="1" applyAlignment="1" applyProtection="1"/>
    <xf numFmtId="2" fontId="21" fillId="0" borderId="0" xfId="1" applyNumberFormat="1" applyFont="1" applyFill="1" applyBorder="1" applyAlignment="1" applyProtection="1">
      <alignment horizontal="center" vertical="top" wrapText="1"/>
    </xf>
    <xf numFmtId="2" fontId="33" fillId="0" borderId="0" xfId="0" applyNumberFormat="1" applyFont="1" applyAlignment="1" applyProtection="1">
      <alignment horizontal="center" vertical="center"/>
      <protection locked="0"/>
    </xf>
    <xf numFmtId="2" fontId="33" fillId="0" borderId="7" xfId="0" applyNumberFormat="1" applyFont="1" applyBorder="1" applyAlignment="1" applyProtection="1">
      <alignment horizontal="center" vertical="center"/>
      <protection locked="0"/>
    </xf>
    <xf numFmtId="43" fontId="28" fillId="0" borderId="6" xfId="1" applyFont="1" applyBorder="1" applyAlignment="1" applyProtection="1">
      <alignment horizontal="center" vertical="center" wrapText="1"/>
    </xf>
    <xf numFmtId="2" fontId="33" fillId="0" borderId="6" xfId="1" applyNumberFormat="1" applyFont="1" applyBorder="1" applyAlignment="1" applyProtection="1">
      <alignment horizontal="center" vertical="top" wrapText="1"/>
      <protection locked="0"/>
    </xf>
    <xf numFmtId="2" fontId="34" fillId="0" borderId="6" xfId="1" applyNumberFormat="1" applyFont="1" applyBorder="1" applyAlignment="1" applyProtection="1">
      <alignment horizontal="center" vertical="center" wrapText="1"/>
      <protection locked="0"/>
    </xf>
    <xf numFmtId="43" fontId="31" fillId="0" borderId="0" xfId="1" applyFont="1" applyBorder="1" applyAlignment="1" applyProtection="1">
      <alignment horizontal="center" vertical="top" wrapText="1"/>
    </xf>
    <xf numFmtId="43" fontId="32" fillId="0" borderId="0" xfId="1" applyFont="1" applyBorder="1" applyAlignment="1" applyProtection="1">
      <alignment horizontal="center"/>
    </xf>
    <xf numFmtId="43" fontId="31" fillId="0" borderId="0" xfId="1" applyFont="1" applyBorder="1" applyAlignment="1" applyProtection="1">
      <alignment horizontal="center"/>
    </xf>
    <xf numFmtId="43" fontId="31" fillId="0" borderId="0" xfId="1" applyFont="1" applyBorder="1" applyAlignment="1" applyProtection="1">
      <alignment horizontal="center" wrapText="1"/>
    </xf>
    <xf numFmtId="43" fontId="32" fillId="0" borderId="0" xfId="1" applyFont="1" applyBorder="1" applyAlignment="1" applyProtection="1">
      <alignment horizontal="center" wrapText="1"/>
    </xf>
    <xf numFmtId="43" fontId="31" fillId="0" borderId="0" xfId="1" applyFont="1" applyBorder="1" applyAlignment="1" applyProtection="1">
      <alignment horizontal="center" vertical="top"/>
    </xf>
    <xf numFmtId="43" fontId="27" fillId="0" borderId="0" xfId="1" applyFont="1" applyBorder="1" applyAlignment="1" applyProtection="1">
      <alignment horizontal="center" vertical="top"/>
    </xf>
    <xf numFmtId="43" fontId="27" fillId="0" borderId="0" xfId="1" applyFont="1" applyBorder="1" applyAlignment="1" applyProtection="1">
      <alignment horizontal="center"/>
    </xf>
    <xf numFmtId="0" fontId="3" fillId="0" borderId="0" xfId="0" applyFont="1"/>
    <xf numFmtId="0" fontId="3" fillId="0" borderId="0" xfId="0" applyFont="1" applyAlignment="1">
      <alignment vertical="top" wrapText="1"/>
    </xf>
    <xf numFmtId="0" fontId="5" fillId="0" borderId="0" xfId="0" applyFont="1"/>
    <xf numFmtId="0" fontId="20" fillId="0" borderId="0" xfId="0" applyFont="1" applyProtection="1">
      <protection locked="0"/>
    </xf>
    <xf numFmtId="0" fontId="23" fillId="0" borderId="0" xfId="0" applyFont="1" applyProtection="1">
      <protection locked="0"/>
    </xf>
    <xf numFmtId="0" fontId="14" fillId="0" borderId="0" xfId="0" applyFont="1" applyAlignment="1">
      <alignment vertical="center"/>
    </xf>
    <xf numFmtId="0" fontId="11" fillId="0" borderId="0" xfId="0" applyFont="1"/>
    <xf numFmtId="0" fontId="10" fillId="0" borderId="0" xfId="0" applyFont="1" applyAlignment="1">
      <alignment horizontal="right" vertical="center"/>
    </xf>
    <xf numFmtId="0" fontId="9" fillId="0" borderId="0" xfId="0" applyFont="1" applyAlignment="1">
      <alignment vertical="center"/>
    </xf>
    <xf numFmtId="0" fontId="6" fillId="0" borderId="0" xfId="0" applyFont="1" applyAlignment="1">
      <alignment wrapText="1"/>
    </xf>
    <xf numFmtId="0" fontId="20" fillId="0" borderId="0" xfId="0" applyFont="1" applyAlignment="1">
      <alignment horizontal="left"/>
    </xf>
    <xf numFmtId="0" fontId="15" fillId="0" borderId="0" xfId="0" applyFont="1" applyProtection="1">
      <protection locked="0"/>
    </xf>
    <xf numFmtId="0" fontId="15" fillId="0" borderId="9" xfId="0" applyFont="1" applyBorder="1" applyProtection="1">
      <protection locked="0"/>
    </xf>
    <xf numFmtId="0" fontId="20" fillId="0" borderId="8" xfId="0" applyFont="1" applyBorder="1" applyAlignment="1">
      <alignment horizontal="left" indent="1"/>
    </xf>
    <xf numFmtId="0" fontId="20" fillId="0" borderId="0" xfId="0" applyFont="1" applyAlignment="1">
      <alignment horizontal="left" indent="1"/>
    </xf>
    <xf numFmtId="0" fontId="20" fillId="0" borderId="9" xfId="0" applyFont="1" applyBorder="1" applyProtection="1">
      <protection locked="0"/>
    </xf>
    <xf numFmtId="0" fontId="20" fillId="0" borderId="9" xfId="0" applyFont="1" applyBorder="1"/>
    <xf numFmtId="0" fontId="22" fillId="0" borderId="9" xfId="0" applyFont="1" applyBorder="1"/>
    <xf numFmtId="0" fontId="20" fillId="0" borderId="8" xfId="0" applyFont="1" applyBorder="1"/>
    <xf numFmtId="0" fontId="23" fillId="0" borderId="9" xfId="0" applyFont="1" applyBorder="1" applyProtection="1">
      <protection locked="0"/>
    </xf>
    <xf numFmtId="0" fontId="25" fillId="0" borderId="8" xfId="0" applyFont="1" applyBorder="1" applyAlignment="1">
      <alignment horizontal="center" vertical="center" wrapText="1"/>
    </xf>
    <xf numFmtId="165" fontId="16" fillId="0" borderId="0" xfId="0" applyNumberFormat="1" applyFont="1" applyAlignment="1" applyProtection="1">
      <alignment horizontal="center" vertical="center"/>
      <protection locked="0"/>
    </xf>
    <xf numFmtId="0" fontId="21" fillId="0" borderId="8" xfId="0" applyFont="1" applyBorder="1"/>
    <xf numFmtId="2" fontId="20" fillId="0" borderId="0" xfId="3" applyNumberFormat="1" applyFont="1" applyAlignment="1">
      <alignment vertical="top" wrapText="1"/>
    </xf>
    <xf numFmtId="2" fontId="20" fillId="0" borderId="9" xfId="3" applyNumberFormat="1" applyFont="1" applyBorder="1" applyAlignment="1">
      <alignment vertical="top"/>
    </xf>
    <xf numFmtId="2" fontId="22" fillId="0" borderId="0" xfId="3" applyNumberFormat="1" applyFont="1" applyAlignment="1">
      <alignment horizontal="center" vertical="center"/>
    </xf>
    <xf numFmtId="0" fontId="21" fillId="0" borderId="15" xfId="0" applyFont="1" applyBorder="1"/>
    <xf numFmtId="0" fontId="21" fillId="0" borderId="7" xfId="0" applyFont="1" applyBorder="1"/>
    <xf numFmtId="2" fontId="17" fillId="0" borderId="7" xfId="3" applyNumberFormat="1" applyFont="1" applyBorder="1" applyAlignment="1" applyProtection="1">
      <alignment horizontal="center" vertical="center"/>
      <protection locked="0"/>
    </xf>
    <xf numFmtId="0" fontId="21" fillId="0" borderId="16" xfId="0" applyFont="1" applyBorder="1"/>
    <xf numFmtId="0" fontId="20" fillId="0" borderId="0" xfId="0" applyFont="1" applyAlignment="1">
      <alignment horizontal="center"/>
    </xf>
    <xf numFmtId="0" fontId="26" fillId="0" borderId="0" xfId="0" applyFont="1" applyAlignment="1">
      <alignment horizontal="center" vertical="top"/>
    </xf>
    <xf numFmtId="0" fontId="27" fillId="0" borderId="0" xfId="0" applyFont="1" applyAlignment="1">
      <alignment horizontal="center"/>
    </xf>
    <xf numFmtId="0" fontId="27" fillId="0" borderId="0" xfId="0" applyFont="1" applyAlignment="1">
      <alignment horizontal="center" vertical="center" wrapText="1"/>
    </xf>
    <xf numFmtId="0" fontId="20" fillId="0" borderId="6" xfId="0" applyFont="1" applyBorder="1" applyAlignment="1">
      <alignment horizontal="left" vertical="top" wrapText="1"/>
    </xf>
    <xf numFmtId="0" fontId="27" fillId="0" borderId="0" xfId="0" applyFont="1" applyAlignment="1">
      <alignment horizontal="center" vertical="top" wrapText="1"/>
    </xf>
    <xf numFmtId="2" fontId="27" fillId="0" borderId="0" xfId="0" applyNumberFormat="1" applyFont="1" applyAlignment="1">
      <alignment horizontal="center" vertical="top" wrapText="1"/>
    </xf>
    <xf numFmtId="0" fontId="20" fillId="0" borderId="6" xfId="0" applyFont="1" applyBorder="1" applyAlignment="1">
      <alignment horizontal="left" vertical="center" wrapText="1"/>
    </xf>
    <xf numFmtId="0" fontId="30" fillId="0" borderId="6" xfId="0" applyFont="1" applyBorder="1" applyAlignment="1">
      <alignment horizontal="center" vertical="justify" wrapText="1"/>
    </xf>
    <xf numFmtId="0" fontId="30" fillId="0" borderId="6" xfId="0" applyFont="1" applyBorder="1" applyAlignment="1">
      <alignment horizontal="left" vertical="top" wrapText="1"/>
    </xf>
    <xf numFmtId="2" fontId="30" fillId="0" borderId="6" xfId="0" applyNumberFormat="1" applyFont="1" applyBorder="1" applyAlignment="1">
      <alignment horizontal="center" wrapText="1"/>
    </xf>
    <xf numFmtId="0" fontId="30" fillId="0" borderId="6" xfId="0" applyFont="1" applyBorder="1" applyAlignment="1">
      <alignment horizontal="center" wrapText="1"/>
    </xf>
    <xf numFmtId="0" fontId="30" fillId="0" borderId="6" xfId="0" applyFont="1" applyBorder="1" applyAlignment="1">
      <alignment horizontal="left"/>
    </xf>
    <xf numFmtId="0" fontId="30" fillId="0" borderId="6" xfId="0" applyFont="1" applyBorder="1" applyAlignment="1">
      <alignment horizontal="center"/>
    </xf>
    <xf numFmtId="0" fontId="21" fillId="0" borderId="6" xfId="0" applyFont="1" applyBorder="1" applyAlignment="1">
      <alignment horizontal="left" vertical="top" wrapText="1"/>
    </xf>
    <xf numFmtId="0" fontId="0" fillId="0" borderId="0" xfId="0" applyAlignment="1">
      <alignment horizontal="center"/>
    </xf>
    <xf numFmtId="0" fontId="31" fillId="0" borderId="6" xfId="0" applyFont="1" applyBorder="1" applyAlignment="1">
      <alignment horizontal="left" vertical="top" wrapText="1"/>
    </xf>
    <xf numFmtId="2" fontId="21" fillId="0" borderId="6" xfId="0" applyNumberFormat="1" applyFont="1" applyBorder="1" applyAlignment="1">
      <alignment horizontal="center" wrapText="1"/>
    </xf>
    <xf numFmtId="0" fontId="20" fillId="0" borderId="6" xfId="0" applyFont="1" applyBorder="1" applyAlignment="1">
      <alignment horizontal="center" vertical="top" wrapText="1"/>
    </xf>
    <xf numFmtId="0" fontId="29" fillId="0" borderId="0" xfId="0" applyFont="1" applyAlignment="1">
      <alignment horizontal="center" vertical="center" wrapText="1"/>
    </xf>
    <xf numFmtId="2" fontId="30" fillId="0" borderId="0" xfId="3" applyNumberFormat="1" applyFont="1" applyAlignment="1">
      <alignment horizontal="center" vertical="top"/>
    </xf>
    <xf numFmtId="0" fontId="31" fillId="0" borderId="0" xfId="0" applyFont="1" applyAlignment="1">
      <alignment horizontal="center"/>
    </xf>
    <xf numFmtId="0" fontId="31" fillId="0" borderId="0" xfId="0" applyFont="1" applyAlignment="1">
      <alignment horizontal="center" vertical="top" wrapText="1"/>
    </xf>
    <xf numFmtId="0" fontId="32" fillId="0" borderId="0" xfId="0" applyFont="1" applyAlignment="1">
      <alignment horizontal="center" wrapText="1"/>
    </xf>
    <xf numFmtId="0" fontId="31" fillId="0" borderId="0" xfId="0" applyFont="1" applyAlignment="1">
      <alignment horizontal="center" wrapText="1"/>
    </xf>
    <xf numFmtId="2" fontId="37" fillId="0" borderId="6" xfId="0" applyNumberFormat="1" applyFont="1" applyBorder="1" applyAlignment="1" applyProtection="1">
      <alignment horizontal="center" vertical="justify" wrapText="1"/>
      <protection locked="0"/>
    </xf>
    <xf numFmtId="2" fontId="37" fillId="0" borderId="6" xfId="0" applyNumberFormat="1" applyFont="1" applyBorder="1" applyAlignment="1" applyProtection="1">
      <alignment horizontal="center"/>
      <protection locked="0"/>
    </xf>
    <xf numFmtId="2" fontId="33" fillId="0" borderId="6" xfId="0" applyNumberFormat="1" applyFont="1" applyBorder="1" applyAlignment="1" applyProtection="1">
      <alignment horizontal="center" vertical="top" wrapText="1"/>
      <protection locked="0"/>
    </xf>
    <xf numFmtId="0" fontId="36" fillId="0" borderId="6" xfId="0" applyFont="1" applyBorder="1" applyAlignment="1" applyProtection="1">
      <alignment horizontal="center" vertical="top" wrapText="1"/>
      <protection locked="0"/>
    </xf>
    <xf numFmtId="43" fontId="36" fillId="0" borderId="6" xfId="1" applyFont="1" applyBorder="1" applyAlignment="1" applyProtection="1">
      <alignment horizontal="center"/>
      <protection locked="0"/>
    </xf>
    <xf numFmtId="0" fontId="33" fillId="0" borderId="6" xfId="0" applyFont="1" applyBorder="1" applyAlignment="1" applyProtection="1">
      <alignment horizontal="center" vertical="top" wrapText="1"/>
      <protection locked="0"/>
    </xf>
    <xf numFmtId="0" fontId="21" fillId="0" borderId="0" xfId="0" applyFont="1" applyAlignment="1">
      <alignment horizontal="center" vertical="top" wrapText="1"/>
    </xf>
    <xf numFmtId="43" fontId="21" fillId="0" borderId="0" xfId="1" applyFont="1" applyBorder="1" applyAlignment="1" applyProtection="1">
      <alignment horizontal="center" wrapText="1"/>
    </xf>
    <xf numFmtId="0" fontId="21" fillId="0" borderId="0" xfId="0" applyFont="1" applyAlignment="1">
      <alignment horizontal="center" wrapText="1"/>
    </xf>
    <xf numFmtId="2" fontId="21" fillId="0" borderId="0" xfId="3" applyNumberFormat="1" applyFont="1" applyAlignment="1">
      <alignment horizontal="center" vertical="top" wrapText="1"/>
    </xf>
    <xf numFmtId="2" fontId="21" fillId="0" borderId="0" xfId="3" applyNumberFormat="1" applyFont="1" applyAlignment="1">
      <alignment horizontal="center" vertical="top"/>
    </xf>
    <xf numFmtId="43" fontId="21" fillId="0" borderId="9" xfId="1" applyFont="1" applyBorder="1" applyAlignment="1" applyProtection="1">
      <alignment horizontal="center" wrapText="1"/>
    </xf>
    <xf numFmtId="2" fontId="21" fillId="0" borderId="9" xfId="3" applyNumberFormat="1" applyFont="1" applyBorder="1" applyAlignment="1">
      <alignment horizontal="center" vertical="top"/>
    </xf>
    <xf numFmtId="2" fontId="21" fillId="0" borderId="7" xfId="3" applyNumberFormat="1" applyFont="1" applyBorder="1" applyAlignment="1">
      <alignment horizontal="center" vertical="top" wrapText="1"/>
    </xf>
    <xf numFmtId="2" fontId="21" fillId="0" borderId="7" xfId="3" applyNumberFormat="1" applyFont="1" applyBorder="1" applyAlignment="1">
      <alignment horizontal="center" vertical="top"/>
    </xf>
    <xf numFmtId="2" fontId="21" fillId="0" borderId="16" xfId="3" applyNumberFormat="1" applyFont="1" applyBorder="1" applyAlignment="1">
      <alignment horizontal="center" vertical="top"/>
    </xf>
    <xf numFmtId="2" fontId="22" fillId="0" borderId="15" xfId="3" applyNumberFormat="1" applyFont="1" applyBorder="1" applyAlignment="1">
      <alignment horizontal="center" wrapText="1"/>
    </xf>
    <xf numFmtId="2" fontId="22" fillId="0" borderId="16" xfId="3" applyNumberFormat="1" applyFont="1" applyBorder="1" applyAlignment="1">
      <alignment horizontal="center" wrapText="1"/>
    </xf>
    <xf numFmtId="0" fontId="27" fillId="0" borderId="0" xfId="0" applyFont="1" applyAlignment="1">
      <alignment horizontal="left" vertical="center"/>
    </xf>
    <xf numFmtId="2" fontId="27" fillId="0" borderId="0" xfId="0" applyNumberFormat="1" applyFont="1" applyAlignment="1">
      <alignment horizontal="left" vertical="center"/>
    </xf>
    <xf numFmtId="0" fontId="20" fillId="0" borderId="5" xfId="0" applyFont="1" applyBorder="1" applyAlignment="1">
      <alignment horizontal="left" vertical="center"/>
    </xf>
    <xf numFmtId="0" fontId="20" fillId="0" borderId="0" xfId="0" applyFont="1" applyAlignment="1">
      <alignment horizontal="left" vertical="center"/>
    </xf>
    <xf numFmtId="2" fontId="20" fillId="0" borderId="0" xfId="0" applyNumberFormat="1" applyFont="1" applyAlignment="1">
      <alignment horizontal="center" vertical="center"/>
    </xf>
    <xf numFmtId="0" fontId="20" fillId="0" borderId="0" xfId="0" applyFont="1" applyAlignment="1">
      <alignment horizontal="center" vertical="center"/>
    </xf>
    <xf numFmtId="164" fontId="27" fillId="0" borderId="0" xfId="0" applyNumberFormat="1" applyFont="1" applyAlignment="1">
      <alignment horizontal="center" vertical="center"/>
    </xf>
    <xf numFmtId="2" fontId="27" fillId="0" borderId="0" xfId="0" applyNumberFormat="1" applyFont="1" applyAlignment="1">
      <alignment horizontal="center" vertical="center"/>
    </xf>
    <xf numFmtId="0" fontId="27" fillId="0" borderId="0" xfId="0" applyFont="1" applyAlignment="1">
      <alignment horizontal="center" vertical="center"/>
    </xf>
    <xf numFmtId="2" fontId="20" fillId="0" borderId="0" xfId="0" applyNumberFormat="1" applyFont="1" applyAlignment="1">
      <alignment horizontal="left" vertical="center"/>
    </xf>
    <xf numFmtId="0" fontId="20" fillId="0" borderId="1" xfId="0" applyFont="1" applyBorder="1" applyAlignment="1">
      <alignment horizontal="left" vertical="center"/>
    </xf>
    <xf numFmtId="0" fontId="20" fillId="0" borderId="0" xfId="0" applyFont="1" applyAlignment="1">
      <alignment horizontal="left" vertical="center" wrapText="1"/>
    </xf>
    <xf numFmtId="0" fontId="36" fillId="0" borderId="0" xfId="0" applyFont="1" applyAlignment="1">
      <alignment horizontal="center" vertical="center"/>
    </xf>
    <xf numFmtId="2" fontId="33" fillId="0" borderId="0" xfId="0" applyNumberFormat="1" applyFont="1" applyAlignment="1">
      <alignment horizontal="center" vertical="center"/>
    </xf>
    <xf numFmtId="0" fontId="20" fillId="0" borderId="0" xfId="0" applyFont="1" applyAlignment="1">
      <alignment horizontal="center" vertical="center" wrapText="1"/>
    </xf>
    <xf numFmtId="0" fontId="33" fillId="0" borderId="1" xfId="0" applyFont="1" applyBorder="1" applyAlignment="1">
      <alignment horizontal="left" vertical="center"/>
    </xf>
    <xf numFmtId="43" fontId="20" fillId="0" borderId="0" xfId="0" applyNumberFormat="1" applyFont="1" applyAlignment="1">
      <alignment horizontal="left" vertical="center"/>
    </xf>
    <xf numFmtId="43" fontId="33" fillId="0" borderId="0" xfId="0" applyNumberFormat="1" applyFont="1" applyAlignment="1">
      <alignment horizontal="left" vertical="center"/>
    </xf>
    <xf numFmtId="164" fontId="36" fillId="0" borderId="0" xfId="0" applyNumberFormat="1" applyFont="1" applyAlignment="1">
      <alignment horizontal="left" vertical="center"/>
    </xf>
    <xf numFmtId="164" fontId="20" fillId="0" borderId="0" xfId="0" applyNumberFormat="1" applyFont="1" applyAlignment="1">
      <alignment vertical="center"/>
    </xf>
    <xf numFmtId="2" fontId="33" fillId="0" borderId="0" xfId="0" applyNumberFormat="1" applyFont="1" applyAlignment="1">
      <alignment horizontal="left" vertical="center"/>
    </xf>
    <xf numFmtId="164" fontId="27" fillId="0" borderId="0" xfId="0" applyNumberFormat="1" applyFont="1" applyAlignment="1">
      <alignment horizontal="left" vertical="center"/>
    </xf>
    <xf numFmtId="164" fontId="20" fillId="0" borderId="0" xfId="0" applyNumberFormat="1" applyFont="1" applyAlignment="1">
      <alignment horizontal="left" vertical="center"/>
    </xf>
    <xf numFmtId="0" fontId="33" fillId="0" borderId="5" xfId="0" applyFont="1" applyBorder="1" applyAlignment="1">
      <alignment horizontal="center" vertical="center"/>
    </xf>
    <xf numFmtId="0" fontId="30" fillId="0" borderId="0" xfId="0" applyFont="1" applyAlignment="1">
      <alignment horizontal="center"/>
    </xf>
    <xf numFmtId="0" fontId="37" fillId="0" borderId="0" xfId="0" applyFont="1" applyAlignment="1">
      <alignment horizontal="center"/>
    </xf>
    <xf numFmtId="0" fontId="30" fillId="0" borderId="9" xfId="0" applyFont="1" applyBorder="1" applyAlignment="1">
      <alignment horizontal="center"/>
    </xf>
    <xf numFmtId="2" fontId="15" fillId="0" borderId="0" xfId="0" applyNumberFormat="1" applyFont="1" applyAlignment="1">
      <alignment horizontal="center"/>
    </xf>
    <xf numFmtId="0" fontId="33" fillId="0" borderId="5" xfId="0" applyFont="1" applyBorder="1" applyAlignment="1">
      <alignment horizontal="center" vertical="center" wrapText="1"/>
    </xf>
    <xf numFmtId="0" fontId="27" fillId="0" borderId="0" xfId="0" applyFont="1"/>
    <xf numFmtId="0" fontId="15" fillId="0" borderId="8" xfId="0" applyFont="1" applyBorder="1" applyAlignment="1">
      <alignment horizontal="center" vertical="center"/>
    </xf>
    <xf numFmtId="0" fontId="30" fillId="0" borderId="0" xfId="0" applyFont="1" applyAlignment="1">
      <alignment horizontal="center" vertical="center"/>
    </xf>
    <xf numFmtId="0" fontId="37" fillId="0" borderId="0" xfId="0" applyFont="1" applyAlignment="1">
      <alignment horizontal="center" vertical="center"/>
    </xf>
    <xf numFmtId="2" fontId="37" fillId="0" borderId="0" xfId="0" applyNumberFormat="1" applyFont="1" applyAlignment="1">
      <alignment horizontal="center" vertical="center"/>
    </xf>
    <xf numFmtId="0" fontId="28" fillId="0" borderId="0" xfId="0" applyFont="1" applyAlignment="1">
      <alignment horizontal="center" vertical="center"/>
    </xf>
    <xf numFmtId="2" fontId="38" fillId="0" borderId="0" xfId="0" applyNumberFormat="1" applyFont="1" applyAlignment="1">
      <alignment horizontal="center" vertical="center"/>
    </xf>
    <xf numFmtId="0" fontId="28" fillId="0" borderId="9" xfId="0" applyFont="1" applyBorder="1" applyAlignment="1">
      <alignment horizontal="center" vertical="center"/>
    </xf>
    <xf numFmtId="0" fontId="15" fillId="0" borderId="0" xfId="0" applyFont="1" applyAlignment="1">
      <alignment horizontal="center" vertical="center"/>
    </xf>
    <xf numFmtId="0" fontId="20" fillId="0" borderId="5" xfId="0" applyFont="1" applyBorder="1" applyAlignment="1">
      <alignment horizontal="center" vertical="center"/>
    </xf>
    <xf numFmtId="2" fontId="27" fillId="0" borderId="0" xfId="0" applyNumberFormat="1" applyFont="1" applyAlignment="1">
      <alignment horizontal="center"/>
    </xf>
    <xf numFmtId="0" fontId="38" fillId="0" borderId="0" xfId="0" applyFont="1" applyAlignment="1">
      <alignment horizontal="center" vertical="center"/>
    </xf>
    <xf numFmtId="2" fontId="20" fillId="0" borderId="1" xfId="0" applyNumberFormat="1" applyFont="1" applyBorder="1" applyAlignment="1">
      <alignment horizontal="left" vertical="center"/>
    </xf>
    <xf numFmtId="0" fontId="0" fillId="0" borderId="8" xfId="0" applyBorder="1" applyAlignment="1">
      <alignment horizontal="center"/>
    </xf>
    <xf numFmtId="0" fontId="28" fillId="0" borderId="0" xfId="0" applyFont="1" applyAlignment="1">
      <alignment horizontal="center"/>
    </xf>
    <xf numFmtId="0" fontId="28" fillId="0" borderId="9" xfId="0" applyFont="1" applyBorder="1" applyAlignment="1">
      <alignment horizontal="center"/>
    </xf>
    <xf numFmtId="0" fontId="20" fillId="0" borderId="5" xfId="0" applyFont="1" applyBorder="1" applyAlignment="1">
      <alignment horizontal="center" vertical="center" wrapText="1"/>
    </xf>
    <xf numFmtId="0" fontId="15" fillId="0" borderId="8" xfId="0" applyFont="1" applyBorder="1"/>
    <xf numFmtId="164" fontId="28" fillId="0" borderId="0" xfId="0" applyNumberFormat="1" applyFont="1"/>
    <xf numFmtId="164" fontId="37" fillId="0" borderId="0" xfId="0" applyNumberFormat="1" applyFont="1" applyAlignment="1">
      <alignment horizontal="center"/>
    </xf>
    <xf numFmtId="164" fontId="37" fillId="0" borderId="0" xfId="0" applyNumberFormat="1" applyFont="1"/>
    <xf numFmtId="164" fontId="30" fillId="0" borderId="0" xfId="0" applyNumberFormat="1" applyFont="1" applyAlignment="1">
      <alignment horizontal="center"/>
    </xf>
    <xf numFmtId="0" fontId="15" fillId="0" borderId="0" xfId="0" applyFont="1"/>
    <xf numFmtId="0" fontId="30" fillId="0" borderId="0" xfId="0" applyFont="1"/>
    <xf numFmtId="164" fontId="30" fillId="0" borderId="0" xfId="0" applyNumberFormat="1" applyFont="1"/>
    <xf numFmtId="0" fontId="30" fillId="0" borderId="0" xfId="0" applyFont="1" applyAlignment="1">
      <alignment horizontal="left"/>
    </xf>
    <xf numFmtId="0" fontId="37" fillId="0" borderId="0" xfId="0" applyFont="1"/>
    <xf numFmtId="0" fontId="28" fillId="0" borderId="0" xfId="0" applyFont="1" applyAlignment="1">
      <alignment horizontal="right"/>
    </xf>
    <xf numFmtId="0" fontId="30" fillId="0" borderId="0" xfId="0" applyFont="1" applyAlignment="1">
      <alignment horizontal="left" vertical="center"/>
    </xf>
    <xf numFmtId="2" fontId="30" fillId="0" borderId="0" xfId="0" applyNumberFormat="1" applyFont="1" applyAlignment="1">
      <alignment horizontal="left" vertical="center"/>
    </xf>
    <xf numFmtId="164" fontId="30" fillId="0" borderId="0" xfId="0" applyNumberFormat="1" applyFont="1" applyAlignment="1">
      <alignment horizontal="left" vertical="center"/>
    </xf>
    <xf numFmtId="0" fontId="31" fillId="0" borderId="0" xfId="0" applyFont="1" applyAlignment="1">
      <alignment horizontal="left" vertical="center"/>
    </xf>
    <xf numFmtId="0" fontId="36" fillId="0" borderId="0" xfId="0" applyFont="1" applyAlignment="1" applyProtection="1">
      <alignment horizontal="center" vertical="center"/>
      <protection locked="0"/>
    </xf>
    <xf numFmtId="0" fontId="37" fillId="0" borderId="0" xfId="0" applyFont="1" applyAlignment="1" applyProtection="1">
      <alignment horizontal="center"/>
      <protection locked="0"/>
    </xf>
    <xf numFmtId="2" fontId="37" fillId="0" borderId="0" xfId="0" applyNumberFormat="1" applyFont="1" applyAlignment="1" applyProtection="1">
      <alignment horizontal="center"/>
      <protection locked="0"/>
    </xf>
    <xf numFmtId="2" fontId="15" fillId="0" borderId="0" xfId="0" applyNumberFormat="1" applyFont="1" applyAlignment="1" applyProtection="1">
      <alignment horizontal="center"/>
      <protection locked="0"/>
    </xf>
    <xf numFmtId="0" fontId="37" fillId="0" borderId="0" xfId="0" applyFont="1" applyAlignment="1" applyProtection="1">
      <alignment horizontal="center" vertical="center"/>
      <protection locked="0"/>
    </xf>
    <xf numFmtId="2" fontId="37" fillId="0" borderId="0" xfId="0" applyNumberFormat="1" applyFont="1" applyAlignment="1" applyProtection="1">
      <alignment horizontal="center" vertical="center"/>
      <protection locked="0"/>
    </xf>
    <xf numFmtId="2" fontId="38" fillId="0" borderId="0" xfId="0" applyNumberFormat="1" applyFont="1" applyAlignment="1" applyProtection="1">
      <alignment horizontal="center" vertical="center"/>
      <protection locked="0"/>
    </xf>
    <xf numFmtId="2" fontId="38" fillId="0" borderId="0" xfId="0" applyNumberFormat="1" applyFont="1" applyAlignment="1" applyProtection="1">
      <alignment horizontal="center"/>
      <protection locked="0"/>
    </xf>
    <xf numFmtId="2" fontId="38" fillId="0" borderId="0" xfId="0" applyNumberFormat="1" applyFont="1" applyProtection="1">
      <protection locked="0"/>
    </xf>
    <xf numFmtId="2" fontId="37" fillId="0" borderId="0" xfId="0" applyNumberFormat="1" applyFont="1" applyAlignment="1" applyProtection="1">
      <alignment horizontal="right"/>
      <protection locked="0"/>
    </xf>
    <xf numFmtId="2" fontId="37" fillId="0" borderId="0" xfId="0" applyNumberFormat="1" applyFont="1" applyProtection="1">
      <protection locked="0"/>
    </xf>
    <xf numFmtId="0" fontId="38" fillId="0" borderId="0" xfId="0" applyFont="1" applyAlignment="1" applyProtection="1">
      <alignment horizontal="center"/>
      <protection locked="0"/>
    </xf>
    <xf numFmtId="0" fontId="20" fillId="0" borderId="0" xfId="0" applyFont="1" applyAlignment="1" applyProtection="1">
      <alignment horizontal="center" vertical="center"/>
      <protection locked="0"/>
    </xf>
    <xf numFmtId="0" fontId="20" fillId="0" borderId="0" xfId="0" applyFont="1" applyAlignment="1" applyProtection="1">
      <alignment horizontal="center" vertical="center" wrapText="1"/>
      <protection locked="0"/>
    </xf>
    <xf numFmtId="0" fontId="23" fillId="0" borderId="6" xfId="0" applyFont="1" applyBorder="1" applyAlignment="1">
      <alignment horizontal="right" vertical="center" wrapText="1"/>
    </xf>
    <xf numFmtId="0" fontId="21" fillId="0" borderId="6" xfId="2" applyFont="1" applyBorder="1"/>
    <xf numFmtId="0" fontId="21" fillId="0" borderId="6" xfId="2" applyFont="1" applyBorder="1" applyAlignment="1">
      <alignment wrapText="1"/>
    </xf>
    <xf numFmtId="0" fontId="21" fillId="0" borderId="6" xfId="2" applyFont="1" applyBorder="1" applyAlignment="1">
      <alignment horizontal="center"/>
    </xf>
    <xf numFmtId="0" fontId="21" fillId="0" borderId="6" xfId="0" applyFont="1" applyBorder="1"/>
    <xf numFmtId="0" fontId="19" fillId="0" borderId="0" xfId="0" applyFont="1"/>
    <xf numFmtId="2" fontId="20" fillId="0" borderId="0" xfId="3" applyNumberFormat="1" applyFont="1" applyAlignment="1">
      <alignment wrapText="1"/>
    </xf>
    <xf numFmtId="2" fontId="20" fillId="0" borderId="0" xfId="3" applyNumberFormat="1" applyFont="1" applyAlignment="1">
      <alignment horizontal="center"/>
    </xf>
    <xf numFmtId="2" fontId="33" fillId="0" borderId="0" xfId="0" applyNumberFormat="1" applyFont="1" applyAlignment="1" applyProtection="1">
      <alignment horizontal="center"/>
      <protection locked="0"/>
    </xf>
    <xf numFmtId="0" fontId="19" fillId="0" borderId="6" xfId="0" applyFont="1" applyBorder="1" applyAlignment="1">
      <alignment horizontal="center"/>
    </xf>
    <xf numFmtId="0" fontId="22" fillId="0" borderId="6" xfId="2" applyFont="1" applyBorder="1" applyAlignment="1">
      <alignment horizontal="center"/>
    </xf>
    <xf numFmtId="0" fontId="16" fillId="0" borderId="6" xfId="0" applyFont="1" applyBorder="1" applyAlignment="1" applyProtection="1">
      <alignment horizontal="center" vertical="center" wrapText="1"/>
      <protection locked="0"/>
    </xf>
    <xf numFmtId="0" fontId="18" fillId="0" borderId="0" xfId="0" applyFont="1" applyAlignment="1" applyProtection="1">
      <alignment horizontal="left"/>
      <protection locked="0"/>
    </xf>
    <xf numFmtId="0" fontId="18" fillId="0" borderId="9" xfId="0" applyFont="1" applyBorder="1" applyAlignment="1" applyProtection="1">
      <alignment horizontal="left"/>
      <protection locked="0"/>
    </xf>
    <xf numFmtId="0" fontId="4" fillId="0" borderId="0" xfId="0" applyFont="1" applyAlignment="1">
      <alignment horizontal="left"/>
    </xf>
    <xf numFmtId="0" fontId="7" fillId="0" borderId="0" xfId="0" applyFont="1" applyAlignment="1">
      <alignment horizontal="left"/>
    </xf>
    <xf numFmtId="0" fontId="20" fillId="0" borderId="8" xfId="0" applyFont="1" applyBorder="1" applyAlignment="1">
      <alignment horizontal="left"/>
    </xf>
    <xf numFmtId="0" fontId="20" fillId="0" borderId="0" xfId="0" applyFont="1" applyAlignment="1">
      <alignment horizontal="left"/>
    </xf>
    <xf numFmtId="0" fontId="16" fillId="0" borderId="0" xfId="0" applyFont="1" applyAlignment="1" applyProtection="1">
      <alignment horizontal="left" vertical="center" wrapText="1"/>
      <protection locked="0"/>
    </xf>
    <xf numFmtId="0" fontId="16" fillId="0" borderId="9" xfId="0" applyFont="1" applyBorder="1" applyAlignment="1" applyProtection="1">
      <alignment horizontal="left" vertical="center" wrapText="1"/>
      <protection locked="0"/>
    </xf>
    <xf numFmtId="0" fontId="20" fillId="0" borderId="8" xfId="0" applyFont="1" applyBorder="1" applyAlignment="1">
      <alignment horizontal="right"/>
    </xf>
    <xf numFmtId="0" fontId="20" fillId="0" borderId="0" xfId="0" applyFont="1" applyAlignment="1">
      <alignment horizontal="right"/>
    </xf>
    <xf numFmtId="0" fontId="23" fillId="0" borderId="8" xfId="0" applyFont="1" applyBorder="1" applyAlignment="1">
      <alignment horizontal="right" vertical="center" wrapText="1"/>
    </xf>
    <xf numFmtId="0" fontId="23" fillId="0" borderId="0" xfId="0" applyFont="1" applyAlignment="1">
      <alignment horizontal="right" vertical="center" wrapText="1"/>
    </xf>
    <xf numFmtId="0" fontId="13" fillId="0" borderId="0" xfId="0" applyFont="1" applyAlignment="1">
      <alignment horizontal="left"/>
    </xf>
    <xf numFmtId="2" fontId="17" fillId="0" borderId="0" xfId="0" applyNumberFormat="1" applyFont="1" applyAlignment="1">
      <alignment horizontal="center"/>
    </xf>
    <xf numFmtId="0" fontId="21" fillId="0" borderId="8" xfId="0" applyFont="1" applyBorder="1" applyAlignment="1">
      <alignment horizontal="right" vertical="center" wrapText="1"/>
    </xf>
    <xf numFmtId="0" fontId="21" fillId="0" borderId="0" xfId="0" applyFont="1" applyAlignment="1">
      <alignment horizontal="right" vertical="center" wrapText="1"/>
    </xf>
    <xf numFmtId="0" fontId="15" fillId="0" borderId="0" xfId="0" applyFont="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2" fontId="22" fillId="0" borderId="0" xfId="3" applyNumberFormat="1" applyFont="1" applyAlignment="1">
      <alignment horizontal="center" vertical="center" wrapText="1"/>
    </xf>
    <xf numFmtId="0" fontId="12" fillId="0" borderId="0" xfId="0" applyFont="1" applyAlignment="1">
      <alignment horizontal="left" vertical="center"/>
    </xf>
    <xf numFmtId="0" fontId="24" fillId="0" borderId="8" xfId="0" applyFont="1" applyBorder="1" applyAlignment="1">
      <alignment horizontal="center" vertical="center"/>
    </xf>
    <xf numFmtId="0" fontId="24" fillId="0" borderId="0" xfId="0" applyFont="1" applyAlignment="1">
      <alignment horizontal="center" vertical="center"/>
    </xf>
    <xf numFmtId="0" fontId="24" fillId="0" borderId="9" xfId="0" applyFont="1" applyBorder="1" applyAlignment="1">
      <alignment horizontal="center" vertical="center"/>
    </xf>
    <xf numFmtId="0" fontId="23" fillId="0" borderId="8" xfId="0" applyFont="1" applyBorder="1" applyAlignment="1">
      <alignment horizontal="justify" vertical="center" wrapText="1"/>
    </xf>
    <xf numFmtId="0" fontId="23" fillId="0" borderId="0" xfId="0" applyFont="1" applyAlignment="1">
      <alignment horizontal="justify" vertical="center" wrapText="1"/>
    </xf>
    <xf numFmtId="0" fontId="23" fillId="0" borderId="9" xfId="0" applyFont="1" applyBorder="1" applyAlignment="1">
      <alignment horizontal="justify" vertical="center" wrapText="1"/>
    </xf>
    <xf numFmtId="0" fontId="20" fillId="0" borderId="0" xfId="0" applyFont="1" applyAlignment="1">
      <alignment horizontal="center"/>
    </xf>
    <xf numFmtId="0" fontId="20" fillId="0" borderId="9" xfId="0" applyFont="1" applyBorder="1" applyAlignment="1">
      <alignment horizontal="center"/>
    </xf>
    <xf numFmtId="0" fontId="6" fillId="0" borderId="0" xfId="0" applyFont="1" applyAlignment="1">
      <alignment horizontal="center" wrapText="1"/>
    </xf>
    <xf numFmtId="0" fontId="21" fillId="0" borderId="8" xfId="0" applyFont="1" applyBorder="1" applyAlignment="1">
      <alignment horizontal="left" vertical="center" wrapText="1"/>
    </xf>
    <xf numFmtId="0" fontId="21" fillId="0" borderId="0" xfId="0" applyFont="1" applyAlignment="1">
      <alignment horizontal="left" vertical="center" wrapText="1"/>
    </xf>
    <xf numFmtId="0" fontId="21" fillId="0" borderId="9" xfId="0" applyFont="1" applyBorder="1" applyAlignment="1">
      <alignment horizontal="left" vertical="center" wrapText="1"/>
    </xf>
    <xf numFmtId="0" fontId="20" fillId="0" borderId="0" xfId="0" applyFont="1" applyAlignment="1">
      <alignment horizontal="left" vertical="top" wrapText="1"/>
    </xf>
    <xf numFmtId="0" fontId="16" fillId="0" borderId="0" xfId="0" applyFont="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0" fontId="8" fillId="0" borderId="0" xfId="0" applyFont="1" applyAlignment="1">
      <alignment horizontal="left"/>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9" fillId="0" borderId="14" xfId="0" applyFont="1" applyBorder="1" applyAlignment="1">
      <alignment horizontal="center" vertical="center"/>
    </xf>
    <xf numFmtId="0" fontId="20" fillId="0" borderId="8" xfId="0" applyFont="1" applyBorder="1" applyAlignment="1">
      <alignment horizontal="left" vertical="top"/>
    </xf>
    <xf numFmtId="0" fontId="20" fillId="0" borderId="0" xfId="0" applyFont="1" applyAlignment="1">
      <alignment horizontal="left" vertical="top"/>
    </xf>
    <xf numFmtId="2" fontId="20" fillId="0" borderId="6" xfId="0" applyNumberFormat="1" applyFont="1" applyBorder="1" applyAlignment="1">
      <alignment horizontal="center" vertical="center" wrapText="1"/>
    </xf>
    <xf numFmtId="2" fontId="20" fillId="0" borderId="6" xfId="1" applyNumberFormat="1" applyFont="1" applyBorder="1" applyAlignment="1" applyProtection="1">
      <alignment horizontal="center" vertical="center" wrapText="1"/>
    </xf>
    <xf numFmtId="0" fontId="19" fillId="0" borderId="6" xfId="0" applyFont="1" applyBorder="1" applyAlignment="1">
      <alignment horizontal="center" vertical="center"/>
    </xf>
    <xf numFmtId="0" fontId="21" fillId="0" borderId="17" xfId="0" applyFont="1" applyBorder="1" applyAlignment="1">
      <alignment horizontal="right" vertical="center" wrapText="1"/>
    </xf>
    <xf numFmtId="0" fontId="21" fillId="0" borderId="6" xfId="0" applyFont="1" applyBorder="1" applyAlignment="1">
      <alignment horizontal="right" vertical="center" wrapText="1"/>
    </xf>
    <xf numFmtId="2" fontId="33" fillId="0" borderId="6" xfId="1" applyNumberFormat="1" applyFont="1" applyBorder="1" applyAlignment="1" applyProtection="1">
      <alignment horizontal="center" vertical="center" wrapText="1"/>
      <protection locked="0"/>
    </xf>
    <xf numFmtId="0" fontId="23" fillId="0" borderId="6" xfId="0" applyFont="1" applyBorder="1" applyAlignment="1">
      <alignment horizontal="center" vertical="center" wrapText="1"/>
    </xf>
    <xf numFmtId="0" fontId="20" fillId="0" borderId="6" xfId="1" applyNumberFormat="1" applyFont="1" applyBorder="1" applyAlignment="1" applyProtection="1">
      <alignment horizontal="center" vertical="center" wrapText="1"/>
    </xf>
    <xf numFmtId="0" fontId="20" fillId="0" borderId="6" xfId="0" applyFont="1" applyBorder="1" applyAlignment="1">
      <alignment horizontal="center" vertical="center" wrapText="1"/>
    </xf>
    <xf numFmtId="0" fontId="32" fillId="0" borderId="0" xfId="0" applyFont="1" applyAlignment="1">
      <alignment horizontal="center" wrapText="1"/>
    </xf>
    <xf numFmtId="2" fontId="22" fillId="0" borderId="8" xfId="3" applyNumberFormat="1" applyFont="1" applyBorder="1" applyAlignment="1">
      <alignment horizontal="center"/>
    </xf>
    <xf numFmtId="2" fontId="22" fillId="0" borderId="9" xfId="3" applyNumberFormat="1" applyFont="1" applyBorder="1" applyAlignment="1">
      <alignment horizontal="center"/>
    </xf>
    <xf numFmtId="2" fontId="22" fillId="0" borderId="18" xfId="3" applyNumberFormat="1" applyFont="1" applyBorder="1" applyAlignment="1">
      <alignment horizontal="center" wrapText="1"/>
    </xf>
    <xf numFmtId="2" fontId="22" fillId="0" borderId="19" xfId="3" applyNumberFormat="1" applyFont="1" applyBorder="1" applyAlignment="1">
      <alignment horizontal="center" wrapText="1"/>
    </xf>
    <xf numFmtId="2" fontId="17" fillId="0" borderId="8" xfId="3" applyNumberFormat="1" applyFont="1" applyBorder="1" applyAlignment="1" applyProtection="1">
      <alignment horizontal="center" wrapText="1"/>
      <protection locked="0"/>
    </xf>
    <xf numFmtId="2" fontId="17" fillId="0" borderId="9" xfId="3" applyNumberFormat="1" applyFont="1" applyBorder="1" applyAlignment="1" applyProtection="1">
      <alignment horizontal="center" wrapText="1"/>
      <protection locked="0"/>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2" fontId="30" fillId="0" borderId="0" xfId="0" applyNumberFormat="1" applyFont="1" applyAlignment="1">
      <alignment horizontal="center"/>
    </xf>
    <xf numFmtId="2" fontId="35" fillId="0" borderId="0" xfId="0" applyNumberFormat="1" applyFont="1" applyAlignment="1">
      <alignment horizontal="left" vertical="center"/>
    </xf>
    <xf numFmtId="0" fontId="35" fillId="0" borderId="1" xfId="0" applyFont="1" applyBorder="1" applyAlignment="1">
      <alignment horizontal="left" vertical="center"/>
    </xf>
    <xf numFmtId="0" fontId="20" fillId="0" borderId="5" xfId="0" applyFont="1" applyBorder="1" applyAlignment="1">
      <alignment horizontal="left" vertical="center" wrapText="1"/>
    </xf>
    <xf numFmtId="0" fontId="20" fillId="0" borderId="0" xfId="0" applyFont="1" applyAlignment="1">
      <alignment horizontal="left" vertical="center" wrapText="1"/>
    </xf>
    <xf numFmtId="0" fontId="20" fillId="0" borderId="1" xfId="0" applyFont="1" applyBorder="1" applyAlignment="1">
      <alignment horizontal="left" vertical="center" wrapText="1"/>
    </xf>
    <xf numFmtId="0" fontId="23" fillId="0" borderId="2" xfId="0" applyFont="1" applyBorder="1" applyAlignment="1">
      <alignment horizontal="center" vertical="center" wrapText="1"/>
    </xf>
    <xf numFmtId="0" fontId="23" fillId="0" borderId="10" xfId="0" applyFont="1" applyBorder="1" applyAlignment="1">
      <alignment horizontal="center" vertical="center" wrapText="1"/>
    </xf>
    <xf numFmtId="0" fontId="16" fillId="0" borderId="11" xfId="0" applyFont="1" applyBorder="1" applyAlignment="1" applyProtection="1">
      <alignment horizontal="center" vertical="center" wrapText="1"/>
      <protection locked="0"/>
    </xf>
    <xf numFmtId="0" fontId="16" fillId="0" borderId="3"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164" fontId="30" fillId="0" borderId="0" xfId="0" applyNumberFormat="1" applyFont="1" applyAlignment="1">
      <alignment horizontal="center"/>
    </xf>
    <xf numFmtId="164" fontId="20" fillId="0" borderId="0" xfId="0" applyNumberFormat="1" applyFont="1" applyAlignment="1">
      <alignment horizontal="center" vertical="center"/>
    </xf>
    <xf numFmtId="2" fontId="30" fillId="0" borderId="0" xfId="3" applyNumberFormat="1" applyFont="1" applyAlignment="1">
      <alignment horizontal="left" vertical="center"/>
    </xf>
  </cellXfs>
  <cellStyles count="4">
    <cellStyle name="Comma" xfId="1" builtinId="3"/>
    <cellStyle name="Normal" xfId="0" builtinId="0"/>
    <cellStyle name="Normal 2 2" xfId="2" xr:uid="{00000000-0005-0000-0000-000002000000}"/>
    <cellStyle name="Normal_COMPOUND WALL"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Rushi\Desktop\Khokhar\Modasa%20B%20V%20Shah\Slab%20Drain\ESTRWBM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
      <sheetName val="MEAS"/>
      <sheetName val="R.A."/>
      <sheetName val="MTCOST"/>
      <sheetName val="lead"/>
      <sheetName val="face"/>
      <sheetName val="GD."/>
      <sheetName val="Sheet9"/>
      <sheetName val="Sheet10"/>
      <sheetName val="Sheet11"/>
      <sheetName val="Sheet12"/>
      <sheetName val="Sheet13"/>
      <sheetName val="Sheet14"/>
      <sheetName val="Sheet15"/>
      <sheetName val="Sheet16"/>
    </sheetNames>
    <sheetDataSet>
      <sheetData sheetId="0" refreshError="1"/>
      <sheetData sheetId="1" refreshError="1"/>
      <sheetData sheetId="2" refreshError="1"/>
      <sheetData sheetId="3" refreshError="1"/>
      <sheetData sheetId="4" refreshError="1">
        <row r="2">
          <cell r="B2" t="str">
            <v>NAME OF WORK</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41"/>
  <sheetViews>
    <sheetView view="pageBreakPreview" topLeftCell="A25" zoomScale="115" zoomScaleNormal="100" zoomScaleSheetLayoutView="115" workbookViewId="0">
      <selection activeCell="A18" sqref="A18:G18"/>
    </sheetView>
  </sheetViews>
  <sheetFormatPr defaultColWidth="9.140625" defaultRowHeight="12.75"/>
  <cols>
    <col min="1" max="3" width="12.85546875" style="21" customWidth="1"/>
    <col min="4" max="7" width="9.140625" style="21"/>
    <col min="8" max="8" width="14.7109375" style="21" customWidth="1"/>
    <col min="9" max="16384" width="9.140625" style="21"/>
  </cols>
  <sheetData>
    <row r="1" spans="1:17" ht="21" thickBot="1">
      <c r="A1" s="217" t="s">
        <v>59</v>
      </c>
      <c r="B1" s="218"/>
      <c r="C1" s="218"/>
      <c r="D1" s="218"/>
      <c r="E1" s="218"/>
      <c r="F1" s="218"/>
      <c r="G1" s="218"/>
      <c r="H1" s="218"/>
      <c r="I1" s="219"/>
    </row>
    <row r="2" spans="1:17" ht="25.15" customHeight="1">
      <c r="A2" s="185" t="s">
        <v>5</v>
      </c>
      <c r="B2" s="186"/>
      <c r="C2" s="186"/>
      <c r="D2" s="1" t="s">
        <v>60</v>
      </c>
      <c r="E2" s="1"/>
      <c r="F2" s="32" t="s">
        <v>126</v>
      </c>
      <c r="G2" s="1" t="s">
        <v>61</v>
      </c>
      <c r="H2" s="1"/>
      <c r="I2" s="33" t="s">
        <v>126</v>
      </c>
      <c r="J2" s="183"/>
      <c r="K2" s="184"/>
      <c r="L2" s="184"/>
      <c r="M2" s="184"/>
      <c r="N2" s="184"/>
      <c r="O2" s="184"/>
    </row>
    <row r="3" spans="1:17" ht="15">
      <c r="A3" s="34"/>
      <c r="B3" s="31"/>
      <c r="C3" s="31"/>
      <c r="D3" s="35"/>
      <c r="E3" s="2"/>
      <c r="F3" s="24"/>
      <c r="G3" s="2"/>
      <c r="H3" s="2"/>
      <c r="I3" s="36"/>
    </row>
    <row r="4" spans="1:17" ht="15">
      <c r="A4" s="185" t="s">
        <v>6</v>
      </c>
      <c r="B4" s="186"/>
      <c r="C4" s="186"/>
      <c r="D4" s="1" t="s">
        <v>62</v>
      </c>
      <c r="E4" s="1"/>
      <c r="F4" s="32" t="s">
        <v>126</v>
      </c>
      <c r="G4" s="1" t="s">
        <v>64</v>
      </c>
      <c r="H4" s="1"/>
      <c r="I4" s="33" t="s">
        <v>126</v>
      </c>
      <c r="J4" s="193"/>
      <c r="K4" s="193"/>
      <c r="L4" s="193"/>
      <c r="M4" s="193"/>
      <c r="N4" s="193"/>
      <c r="O4" s="193"/>
    </row>
    <row r="5" spans="1:17" ht="15">
      <c r="A5" s="34"/>
      <c r="B5" s="31"/>
      <c r="C5" s="31"/>
      <c r="D5" s="1" t="s">
        <v>63</v>
      </c>
      <c r="E5" s="2"/>
      <c r="F5" s="32" t="s">
        <v>126</v>
      </c>
      <c r="G5" s="1"/>
      <c r="H5" s="2"/>
      <c r="I5" s="37"/>
    </row>
    <row r="6" spans="1:17" ht="15">
      <c r="A6" s="185" t="s">
        <v>7</v>
      </c>
      <c r="B6" s="186"/>
      <c r="C6" s="186"/>
      <c r="D6" s="2"/>
      <c r="E6" s="2"/>
      <c r="F6" s="2"/>
      <c r="G6" s="2"/>
      <c r="H6" s="2"/>
      <c r="I6" s="37"/>
    </row>
    <row r="7" spans="1:17" ht="15">
      <c r="A7" s="34"/>
      <c r="B7" s="31"/>
      <c r="C7" s="31"/>
      <c r="D7" s="2"/>
      <c r="E7" s="2"/>
      <c r="F7" s="2"/>
      <c r="G7" s="2"/>
      <c r="H7" s="2"/>
      <c r="I7" s="37"/>
    </row>
    <row r="8" spans="1:17" ht="20.25" customHeight="1">
      <c r="A8" s="220" t="s">
        <v>8</v>
      </c>
      <c r="B8" s="221"/>
      <c r="C8" s="221"/>
      <c r="D8" s="187" t="s">
        <v>57</v>
      </c>
      <c r="E8" s="187"/>
      <c r="F8" s="187"/>
      <c r="G8" s="187"/>
      <c r="H8" s="187"/>
      <c r="I8" s="188"/>
      <c r="J8" s="26"/>
      <c r="L8" s="27"/>
      <c r="M8" s="28"/>
      <c r="N8" s="26"/>
    </row>
    <row r="9" spans="1:17" ht="15">
      <c r="A9" s="34"/>
      <c r="B9" s="31"/>
      <c r="C9" s="31"/>
      <c r="D9" s="187"/>
      <c r="E9" s="187"/>
      <c r="F9" s="187"/>
      <c r="G9" s="187"/>
      <c r="H9" s="187"/>
      <c r="I9" s="188"/>
    </row>
    <row r="10" spans="1:17" ht="15">
      <c r="A10" s="185" t="s">
        <v>9</v>
      </c>
      <c r="B10" s="186"/>
      <c r="C10" s="186"/>
      <c r="D10" s="2"/>
      <c r="E10" s="2"/>
      <c r="F10" s="2"/>
      <c r="G10" s="2"/>
      <c r="H10" s="2"/>
      <c r="I10" s="37"/>
    </row>
    <row r="11" spans="1:17" ht="15">
      <c r="A11" s="34"/>
      <c r="B11" s="31"/>
      <c r="C11" s="31"/>
      <c r="D11" s="2"/>
      <c r="E11" s="2"/>
      <c r="F11" s="2"/>
      <c r="G11" s="2"/>
      <c r="H11" s="2"/>
      <c r="I11" s="37"/>
    </row>
    <row r="12" spans="1:17" ht="15">
      <c r="A12" s="185" t="s">
        <v>10</v>
      </c>
      <c r="B12" s="186"/>
      <c r="C12" s="186"/>
      <c r="D12" s="2"/>
      <c r="E12" s="2"/>
      <c r="F12" s="2"/>
      <c r="G12" s="2"/>
      <c r="H12" s="2"/>
      <c r="I12" s="37"/>
    </row>
    <row r="13" spans="1:17" ht="15">
      <c r="A13" s="34"/>
      <c r="B13" s="31"/>
      <c r="C13" s="31"/>
      <c r="D13" s="2"/>
      <c r="E13" s="2"/>
      <c r="F13" s="2"/>
      <c r="G13" s="2"/>
      <c r="H13" s="2"/>
      <c r="I13" s="37"/>
    </row>
    <row r="14" spans="1:17" ht="15">
      <c r="A14" s="185" t="s">
        <v>11</v>
      </c>
      <c r="B14" s="186"/>
      <c r="C14" s="186"/>
      <c r="D14" s="2"/>
      <c r="E14" s="2"/>
      <c r="F14" s="2"/>
      <c r="G14" s="2"/>
      <c r="H14" s="2"/>
      <c r="I14" s="37"/>
      <c r="M14" s="200"/>
      <c r="N14" s="200"/>
      <c r="O14" s="200"/>
      <c r="P14" s="200"/>
      <c r="Q14" s="200"/>
    </row>
    <row r="15" spans="1:17" ht="15">
      <c r="A15" s="34"/>
      <c r="B15" s="31"/>
      <c r="C15" s="31"/>
      <c r="D15" s="2"/>
      <c r="E15" s="2"/>
      <c r="F15" s="2"/>
      <c r="G15" s="2"/>
      <c r="H15" s="2"/>
      <c r="I15" s="37"/>
      <c r="M15" s="200"/>
      <c r="N15" s="200"/>
      <c r="O15" s="200"/>
      <c r="P15" s="200"/>
      <c r="Q15" s="200"/>
    </row>
    <row r="16" spans="1:17" ht="15">
      <c r="A16" s="185" t="s">
        <v>12</v>
      </c>
      <c r="B16" s="186"/>
      <c r="C16" s="186"/>
      <c r="D16" s="2"/>
      <c r="E16" s="2"/>
      <c r="F16" s="2"/>
      <c r="G16" s="2"/>
      <c r="H16" s="2"/>
      <c r="I16" s="37"/>
      <c r="M16" s="200"/>
      <c r="N16" s="200"/>
      <c r="O16" s="200"/>
      <c r="P16" s="200"/>
      <c r="Q16" s="200"/>
    </row>
    <row r="17" spans="1:18" ht="15">
      <c r="A17" s="34"/>
      <c r="B17" s="31"/>
      <c r="C17" s="31"/>
      <c r="D17" s="2"/>
      <c r="E17" s="2"/>
      <c r="F17" s="2"/>
      <c r="G17" s="2"/>
      <c r="H17" s="2"/>
      <c r="I17" s="37"/>
    </row>
    <row r="18" spans="1:18" s="22" customFormat="1" ht="15">
      <c r="A18" s="195" t="s">
        <v>65</v>
      </c>
      <c r="B18" s="196"/>
      <c r="C18" s="196"/>
      <c r="D18" s="196"/>
      <c r="E18" s="196"/>
      <c r="F18" s="196"/>
      <c r="G18" s="196"/>
      <c r="H18" s="197" t="s">
        <v>125</v>
      </c>
      <c r="I18" s="198"/>
      <c r="J18" s="213"/>
      <c r="K18" s="213"/>
      <c r="L18" s="213"/>
      <c r="M18" s="213"/>
      <c r="N18" s="213"/>
      <c r="O18" s="213"/>
      <c r="P18" s="213"/>
      <c r="Q18" s="213"/>
      <c r="R18" s="213"/>
    </row>
    <row r="19" spans="1:18">
      <c r="A19" s="210" t="s">
        <v>66</v>
      </c>
      <c r="B19" s="211"/>
      <c r="C19" s="211"/>
      <c r="D19" s="211"/>
      <c r="E19" s="211"/>
      <c r="F19" s="211"/>
      <c r="G19" s="211"/>
      <c r="H19" s="211"/>
      <c r="I19" s="212"/>
    </row>
    <row r="20" spans="1:18" ht="47.25" customHeight="1">
      <c r="A20" s="191" t="s">
        <v>40</v>
      </c>
      <c r="B20" s="192"/>
      <c r="C20" s="187" t="s">
        <v>127</v>
      </c>
      <c r="D20" s="187"/>
      <c r="E20" s="187"/>
      <c r="F20" s="187"/>
      <c r="G20" s="187"/>
      <c r="H20" s="187"/>
      <c r="I20" s="188"/>
    </row>
    <row r="21" spans="1:18" ht="17.25" customHeight="1">
      <c r="A21" s="189" t="s">
        <v>13</v>
      </c>
      <c r="B21" s="190"/>
      <c r="C21" s="190"/>
      <c r="D21" s="190"/>
      <c r="E21" s="190"/>
      <c r="F21" s="190"/>
      <c r="G21" s="194">
        <v>450000</v>
      </c>
      <c r="H21" s="194"/>
      <c r="I21" s="38"/>
    </row>
    <row r="22" spans="1:18" ht="15">
      <c r="A22" s="39" t="s">
        <v>14</v>
      </c>
      <c r="B22" s="2"/>
      <c r="C22" s="2"/>
      <c r="D22" s="2"/>
      <c r="E22" s="2"/>
      <c r="F22" s="2"/>
      <c r="G22" s="2"/>
      <c r="H22" s="2"/>
      <c r="I22" s="37"/>
    </row>
    <row r="23" spans="1:18" ht="15">
      <c r="A23" s="39"/>
      <c r="B23" s="2"/>
      <c r="C23" s="2"/>
      <c r="D23" s="2" t="s">
        <v>15</v>
      </c>
      <c r="E23" s="2"/>
      <c r="F23" s="2"/>
      <c r="G23" s="2"/>
      <c r="H23" s="2"/>
      <c r="I23" s="37"/>
    </row>
    <row r="24" spans="1:18" ht="15">
      <c r="A24" s="39"/>
      <c r="B24" s="2"/>
      <c r="C24" s="2"/>
      <c r="D24" s="2"/>
      <c r="E24" s="2"/>
      <c r="F24" s="2"/>
      <c r="G24" s="2"/>
      <c r="H24" s="2"/>
      <c r="I24" s="37"/>
    </row>
    <row r="25" spans="1:18" ht="15">
      <c r="A25" s="39" t="s">
        <v>16</v>
      </c>
      <c r="B25" s="2"/>
      <c r="C25" s="2"/>
      <c r="D25" s="2"/>
      <c r="E25" s="2"/>
      <c r="F25" s="2"/>
      <c r="G25" s="2"/>
      <c r="H25" s="2"/>
      <c r="I25" s="37"/>
    </row>
    <row r="26" spans="1:18" ht="15">
      <c r="A26" s="39"/>
      <c r="B26" s="2"/>
      <c r="C26" s="2"/>
      <c r="D26" s="2" t="s">
        <v>17</v>
      </c>
      <c r="E26" s="2"/>
      <c r="F26" s="2"/>
      <c r="G26" s="2"/>
      <c r="H26" s="2"/>
      <c r="I26" s="37"/>
    </row>
    <row r="27" spans="1:18" ht="18">
      <c r="A27" s="39" t="s">
        <v>22</v>
      </c>
      <c r="B27" s="2"/>
      <c r="C27" s="2" t="s">
        <v>23</v>
      </c>
      <c r="D27" s="181" t="s">
        <v>128</v>
      </c>
      <c r="E27" s="181"/>
      <c r="F27" s="181"/>
      <c r="G27" s="181"/>
      <c r="H27" s="181"/>
      <c r="I27" s="182"/>
      <c r="J27" s="216"/>
      <c r="K27" s="216"/>
      <c r="L27" s="216"/>
      <c r="M27" s="216"/>
      <c r="N27" s="216"/>
      <c r="O27" s="216"/>
    </row>
    <row r="28" spans="1:18" ht="18">
      <c r="A28" s="39"/>
      <c r="B28" s="2"/>
      <c r="C28" s="2"/>
      <c r="D28" s="25"/>
      <c r="E28" s="25"/>
      <c r="F28" s="25"/>
      <c r="G28" s="25"/>
      <c r="H28" s="25"/>
      <c r="I28" s="40"/>
      <c r="J28" s="216"/>
      <c r="K28" s="216"/>
      <c r="L28" s="216"/>
      <c r="M28" s="216"/>
      <c r="N28" s="216"/>
      <c r="O28" s="216"/>
    </row>
    <row r="29" spans="1:18" ht="18">
      <c r="A29" s="39" t="s">
        <v>0</v>
      </c>
      <c r="B29" s="2"/>
      <c r="C29" s="2" t="str">
        <f>C27</f>
        <v>:</v>
      </c>
      <c r="D29" s="181" t="str">
        <f>D27</f>
        <v>Shree A.G.SUTHAR. A.A.E.</v>
      </c>
      <c r="E29" s="181"/>
      <c r="F29" s="181"/>
      <c r="G29" s="181"/>
      <c r="H29" s="181"/>
      <c r="I29" s="182"/>
    </row>
    <row r="30" spans="1:18" ht="15">
      <c r="A30" s="39"/>
      <c r="B30" s="2"/>
      <c r="C30" s="2"/>
      <c r="D30" s="2"/>
      <c r="E30" s="2"/>
      <c r="F30" s="2"/>
      <c r="G30" s="2"/>
      <c r="H30" s="2"/>
      <c r="I30" s="37"/>
    </row>
    <row r="31" spans="1:18" ht="15">
      <c r="A31" s="39" t="s">
        <v>18</v>
      </c>
      <c r="B31" s="2"/>
      <c r="C31" s="2"/>
      <c r="D31" s="207"/>
      <c r="E31" s="207"/>
      <c r="F31" s="207"/>
      <c r="G31" s="207"/>
      <c r="H31" s="207"/>
      <c r="I31" s="208"/>
    </row>
    <row r="32" spans="1:18" ht="15">
      <c r="A32" s="39"/>
      <c r="B32" s="2"/>
      <c r="C32" s="2"/>
      <c r="D32" s="2"/>
      <c r="E32" s="2"/>
      <c r="F32" s="2"/>
      <c r="G32" s="2"/>
      <c r="H32" s="2"/>
      <c r="I32" s="37"/>
    </row>
    <row r="33" spans="1:22" ht="21.75" customHeight="1">
      <c r="A33" s="201" t="s">
        <v>123</v>
      </c>
      <c r="B33" s="202"/>
      <c r="C33" s="202"/>
      <c r="D33" s="202"/>
      <c r="E33" s="202"/>
      <c r="F33" s="202"/>
      <c r="G33" s="202"/>
      <c r="H33" s="202"/>
      <c r="I33" s="203"/>
    </row>
    <row r="34" spans="1:22" ht="41.25" customHeight="1">
      <c r="A34" s="41" t="s">
        <v>38</v>
      </c>
      <c r="B34" s="42">
        <v>18</v>
      </c>
      <c r="C34" s="214" t="s">
        <v>58</v>
      </c>
      <c r="D34" s="214"/>
      <c r="E34" s="214"/>
      <c r="F34" s="214"/>
      <c r="G34" s="214"/>
      <c r="H34" s="214"/>
      <c r="I34" s="215"/>
      <c r="J34" s="29"/>
    </row>
    <row r="35" spans="1:22" ht="98.25" customHeight="1">
      <c r="A35" s="204" t="s">
        <v>122</v>
      </c>
      <c r="B35" s="205"/>
      <c r="C35" s="205"/>
      <c r="D35" s="205"/>
      <c r="E35" s="205"/>
      <c r="F35" s="205"/>
      <c r="G35" s="205"/>
      <c r="H35" s="205"/>
      <c r="I35" s="206"/>
      <c r="K35" s="209"/>
      <c r="L35" s="209"/>
      <c r="M35" s="209"/>
      <c r="N35" s="209"/>
      <c r="O35" s="209"/>
      <c r="P35" s="209"/>
      <c r="Q35" s="209"/>
      <c r="R35" s="30"/>
      <c r="S35" s="30"/>
      <c r="T35" s="30"/>
      <c r="U35" s="30"/>
      <c r="V35" s="30"/>
    </row>
    <row r="36" spans="1:22" ht="15">
      <c r="A36" s="39"/>
      <c r="B36" s="2"/>
      <c r="C36" s="2"/>
      <c r="D36" s="2"/>
      <c r="E36" s="2"/>
      <c r="F36" s="2"/>
      <c r="G36" s="2"/>
      <c r="H36" s="2"/>
      <c r="I36" s="37"/>
      <c r="K36" s="209"/>
      <c r="L36" s="209"/>
      <c r="M36" s="209"/>
      <c r="N36" s="209"/>
      <c r="O36" s="209"/>
      <c r="P36" s="209"/>
      <c r="Q36" s="209"/>
      <c r="R36" s="30"/>
      <c r="S36" s="30"/>
      <c r="T36" s="30"/>
      <c r="U36" s="30"/>
      <c r="V36" s="30"/>
    </row>
    <row r="37" spans="1:22" ht="15" customHeight="1">
      <c r="A37" s="43"/>
      <c r="B37" s="1"/>
      <c r="C37" s="1"/>
      <c r="D37" s="2"/>
      <c r="E37" s="2"/>
      <c r="F37" s="44"/>
      <c r="G37" s="44"/>
      <c r="H37" s="44"/>
      <c r="I37" s="45"/>
      <c r="K37" s="209"/>
      <c r="L37" s="209"/>
      <c r="M37" s="209"/>
      <c r="N37" s="209"/>
      <c r="O37" s="209"/>
      <c r="P37" s="209"/>
      <c r="Q37" s="209"/>
      <c r="R37" s="30"/>
      <c r="S37" s="30"/>
      <c r="T37" s="30"/>
      <c r="U37" s="30"/>
      <c r="V37" s="30"/>
    </row>
    <row r="38" spans="1:22" ht="15" customHeight="1">
      <c r="A38" s="43"/>
      <c r="B38" s="1"/>
      <c r="C38" s="1"/>
      <c r="D38" s="2"/>
      <c r="E38" s="2"/>
      <c r="F38" s="199" t="s">
        <v>39</v>
      </c>
      <c r="G38" s="199"/>
      <c r="H38" s="199"/>
      <c r="I38" s="45"/>
    </row>
    <row r="39" spans="1:22" ht="15.75">
      <c r="A39" s="43"/>
      <c r="B39" s="1"/>
      <c r="C39" s="1"/>
      <c r="D39" s="2"/>
      <c r="E39" s="2"/>
      <c r="F39" s="44"/>
      <c r="G39" s="46" t="s">
        <v>37</v>
      </c>
      <c r="H39" s="44"/>
      <c r="I39" s="45"/>
    </row>
    <row r="40" spans="1:22" ht="15.75">
      <c r="A40" s="47"/>
      <c r="B40" s="48"/>
      <c r="C40" s="48"/>
      <c r="D40" s="48"/>
      <c r="E40" s="48"/>
      <c r="F40" s="48"/>
      <c r="G40" s="49" t="str">
        <f>H18</f>
        <v>VASO</v>
      </c>
      <c r="H40" s="48"/>
      <c r="I40" s="50"/>
    </row>
    <row r="41" spans="1:22">
      <c r="A41" s="23"/>
      <c r="B41" s="23"/>
      <c r="C41" s="23"/>
      <c r="D41" s="23"/>
      <c r="E41" s="23"/>
      <c r="F41" s="23"/>
      <c r="G41" s="23"/>
      <c r="H41" s="23"/>
      <c r="I41" s="23"/>
    </row>
  </sheetData>
  <mergeCells count="33">
    <mergeCell ref="A1:I1"/>
    <mergeCell ref="A2:C2"/>
    <mergeCell ref="A8:C8"/>
    <mergeCell ref="A10:C10"/>
    <mergeCell ref="A12:C12"/>
    <mergeCell ref="A4:C4"/>
    <mergeCell ref="A6:C6"/>
    <mergeCell ref="F38:H38"/>
    <mergeCell ref="M16:Q16"/>
    <mergeCell ref="M14:Q14"/>
    <mergeCell ref="A33:I33"/>
    <mergeCell ref="A35:I35"/>
    <mergeCell ref="A16:C16"/>
    <mergeCell ref="D31:I31"/>
    <mergeCell ref="M15:Q15"/>
    <mergeCell ref="K35:Q37"/>
    <mergeCell ref="C20:I20"/>
    <mergeCell ref="A19:I19"/>
    <mergeCell ref="J18:R18"/>
    <mergeCell ref="D29:I29"/>
    <mergeCell ref="C34:I34"/>
    <mergeCell ref="J28:O28"/>
    <mergeCell ref="J27:O27"/>
    <mergeCell ref="D27:I27"/>
    <mergeCell ref="J2:O2"/>
    <mergeCell ref="A14:C14"/>
    <mergeCell ref="D8:I9"/>
    <mergeCell ref="A21:F21"/>
    <mergeCell ref="A20:B20"/>
    <mergeCell ref="J4:O4"/>
    <mergeCell ref="G21:H21"/>
    <mergeCell ref="A18:G18"/>
    <mergeCell ref="H18:I18"/>
  </mergeCells>
  <phoneticPr fontId="0" type="noConversion"/>
  <printOptions horizontalCentered="1"/>
  <pageMargins left="0.39370078740157483" right="0.39370078740157483" top="0.59055118110236227" bottom="0.39370078740157483" header="0.51181102362204722" footer="0.51181102362204722"/>
  <pageSetup paperSize="9" scale="98" orientation="portrait"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182"/>
  <sheetViews>
    <sheetView tabSelected="1" view="pageBreakPreview" zoomScale="90" zoomScaleNormal="100" zoomScaleSheetLayoutView="90" workbookViewId="0">
      <selection activeCell="B6" sqref="B6:B7"/>
    </sheetView>
  </sheetViews>
  <sheetFormatPr defaultColWidth="9.140625" defaultRowHeight="15.75"/>
  <cols>
    <col min="1" max="1" width="11.7109375" style="20" customWidth="1"/>
    <col min="2" max="2" width="9.28515625" style="20" customWidth="1"/>
    <col min="3" max="3" width="56.5703125" style="53" customWidth="1"/>
    <col min="4" max="4" width="11.28515625" style="20" customWidth="1"/>
    <col min="5" max="5" width="10" style="53" customWidth="1"/>
    <col min="6" max="6" width="14.7109375" style="20" bestFit="1" customWidth="1"/>
    <col min="7" max="7" width="9.140625" style="53"/>
    <col min="8" max="8" width="9.5703125" style="53" bestFit="1" customWidth="1"/>
    <col min="9" max="9" width="12.85546875" style="53" bestFit="1" customWidth="1"/>
    <col min="10" max="10" width="9.140625" style="53"/>
    <col min="11" max="11" width="12.7109375" style="53" bestFit="1" customWidth="1"/>
    <col min="12" max="15" width="9.140625" style="53"/>
    <col min="16" max="16" width="9.5703125" style="53" bestFit="1" customWidth="1"/>
    <col min="17" max="16384" width="9.140625" style="53"/>
  </cols>
  <sheetData>
    <row r="1" spans="1:9" ht="20.25">
      <c r="A1" s="224" t="s">
        <v>33</v>
      </c>
      <c r="B1" s="224"/>
      <c r="C1" s="224"/>
      <c r="D1" s="224"/>
      <c r="E1" s="224"/>
      <c r="F1" s="224"/>
      <c r="G1" s="52"/>
      <c r="H1" s="52"/>
    </row>
    <row r="2" spans="1:9" ht="35.25" customHeight="1">
      <c r="A2" s="228" t="str">
        <f>Estimate!A20</f>
        <v xml:space="preserve">કામ નું નામ :- </v>
      </c>
      <c r="B2" s="228"/>
      <c r="C2" s="180" t="str">
        <f>Estimate!C20</f>
        <v xml:space="preserve">વસો ગામે ગામની મુખ્ય ગટર લાઇનનું કામ. </v>
      </c>
      <c r="D2" s="180"/>
      <c r="E2" s="180"/>
      <c r="F2" s="180"/>
    </row>
    <row r="3" spans="1:9" s="54" customFormat="1" ht="60">
      <c r="A3" s="10" t="s">
        <v>1</v>
      </c>
      <c r="B3" s="10" t="s">
        <v>29</v>
      </c>
      <c r="C3" s="10" t="s">
        <v>2</v>
      </c>
      <c r="D3" s="10" t="s">
        <v>31</v>
      </c>
      <c r="E3" s="10" t="s">
        <v>3</v>
      </c>
      <c r="F3" s="10" t="s">
        <v>4</v>
      </c>
    </row>
    <row r="4" spans="1:9" s="56" customFormat="1" ht="45">
      <c r="A4" s="227">
        <f>Measurement!K6</f>
        <v>0</v>
      </c>
      <c r="B4" s="229" t="s">
        <v>35</v>
      </c>
      <c r="C4" s="55" t="s">
        <v>129</v>
      </c>
      <c r="D4" s="223">
        <v>1030.81</v>
      </c>
      <c r="E4" s="222" t="s">
        <v>35</v>
      </c>
      <c r="F4" s="227">
        <f>A4*D4</f>
        <v>0</v>
      </c>
      <c r="I4" s="57"/>
    </row>
    <row r="5" spans="1:9" s="56" customFormat="1" ht="30">
      <c r="A5" s="227"/>
      <c r="B5" s="229"/>
      <c r="C5" s="58" t="s">
        <v>130</v>
      </c>
      <c r="D5" s="223"/>
      <c r="E5" s="222"/>
      <c r="F5" s="227"/>
      <c r="H5" s="56">
        <f>1020.6</f>
        <v>1020.6</v>
      </c>
      <c r="I5" s="57"/>
    </row>
    <row r="6" spans="1:9" s="56" customFormat="1" ht="75">
      <c r="A6" s="227">
        <f>Measurement!K16</f>
        <v>106</v>
      </c>
      <c r="B6" s="229" t="s">
        <v>27</v>
      </c>
      <c r="C6" s="55" t="s">
        <v>98</v>
      </c>
      <c r="D6" s="223">
        <v>89</v>
      </c>
      <c r="E6" s="222" t="str">
        <f>B6</f>
        <v>Cum</v>
      </c>
      <c r="F6" s="227">
        <f>A6*D6</f>
        <v>9434</v>
      </c>
      <c r="H6" s="56">
        <f>H5*1%</f>
        <v>10.206000000000001</v>
      </c>
      <c r="I6" s="57"/>
    </row>
    <row r="7" spans="1:9" s="56" customFormat="1">
      <c r="A7" s="227"/>
      <c r="B7" s="229"/>
      <c r="C7" s="58" t="s">
        <v>68</v>
      </c>
      <c r="D7" s="223"/>
      <c r="E7" s="222"/>
      <c r="F7" s="227"/>
      <c r="H7" s="56">
        <f>H5+H6</f>
        <v>1030.806</v>
      </c>
      <c r="I7" s="57"/>
    </row>
    <row r="8" spans="1:9" s="56" customFormat="1" ht="135">
      <c r="A8" s="227"/>
      <c r="B8" s="229"/>
      <c r="C8" s="55" t="s">
        <v>107</v>
      </c>
      <c r="D8" s="223"/>
      <c r="E8" s="222"/>
      <c r="F8" s="227"/>
      <c r="I8" s="57"/>
    </row>
    <row r="9" spans="1:9" s="56" customFormat="1">
      <c r="A9" s="227"/>
      <c r="B9" s="229"/>
      <c r="C9" s="58" t="s">
        <v>69</v>
      </c>
      <c r="D9" s="223"/>
      <c r="E9" s="222"/>
      <c r="F9" s="227"/>
    </row>
    <row r="10" spans="1:9" s="56" customFormat="1">
      <c r="A10" s="76">
        <f>Measurement!K19</f>
        <v>0</v>
      </c>
      <c r="B10" s="59" t="s">
        <v>26</v>
      </c>
      <c r="C10" s="60" t="s">
        <v>70</v>
      </c>
      <c r="D10" s="61">
        <v>421</v>
      </c>
      <c r="E10" s="62" t="s">
        <v>26</v>
      </c>
      <c r="F10" s="79">
        <f t="shared" ref="F10:F15" si="0">A10*D10</f>
        <v>0</v>
      </c>
    </row>
    <row r="11" spans="1:9" s="56" customFormat="1">
      <c r="A11" s="76">
        <f>Measurement!K20</f>
        <v>0</v>
      </c>
      <c r="B11" s="59" t="s">
        <v>26</v>
      </c>
      <c r="C11" s="60" t="s">
        <v>71</v>
      </c>
      <c r="D11" s="61">
        <v>672</v>
      </c>
      <c r="E11" s="62" t="s">
        <v>26</v>
      </c>
      <c r="F11" s="79">
        <f t="shared" si="0"/>
        <v>0</v>
      </c>
    </row>
    <row r="12" spans="1:9" s="56" customFormat="1">
      <c r="A12" s="76">
        <f>Measurement!K21</f>
        <v>122.5</v>
      </c>
      <c r="B12" s="59" t="s">
        <v>26</v>
      </c>
      <c r="C12" s="60" t="s">
        <v>72</v>
      </c>
      <c r="D12" s="61">
        <v>817</v>
      </c>
      <c r="E12" s="62" t="s">
        <v>26</v>
      </c>
      <c r="F12" s="79">
        <f t="shared" si="0"/>
        <v>100082.5</v>
      </c>
    </row>
    <row r="13" spans="1:9" s="56" customFormat="1">
      <c r="A13" s="76">
        <f>Measurement!K22</f>
        <v>0</v>
      </c>
      <c r="B13" s="59" t="s">
        <v>26</v>
      </c>
      <c r="C13" s="63" t="s">
        <v>73</v>
      </c>
      <c r="D13" s="61">
        <v>1331</v>
      </c>
      <c r="E13" s="62" t="s">
        <v>26</v>
      </c>
      <c r="F13" s="79">
        <f t="shared" si="0"/>
        <v>0</v>
      </c>
    </row>
    <row r="14" spans="1:9" s="56" customFormat="1">
      <c r="A14" s="76">
        <f>Measurement!K23</f>
        <v>0</v>
      </c>
      <c r="B14" s="59" t="s">
        <v>26</v>
      </c>
      <c r="C14" s="63" t="s">
        <v>74</v>
      </c>
      <c r="D14" s="61">
        <v>2476</v>
      </c>
      <c r="E14" s="62" t="s">
        <v>26</v>
      </c>
      <c r="F14" s="79">
        <f t="shared" si="0"/>
        <v>0</v>
      </c>
    </row>
    <row r="15" spans="1:9" s="56" customFormat="1">
      <c r="A15" s="76">
        <f>Measurement!K24</f>
        <v>0</v>
      </c>
      <c r="B15" s="59" t="s">
        <v>26</v>
      </c>
      <c r="C15" s="63" t="s">
        <v>75</v>
      </c>
      <c r="D15" s="61">
        <v>4121</v>
      </c>
      <c r="E15" s="62" t="s">
        <v>26</v>
      </c>
      <c r="F15" s="79">
        <f t="shared" si="0"/>
        <v>0</v>
      </c>
    </row>
    <row r="16" spans="1:9" s="56" customFormat="1" ht="75">
      <c r="A16" s="227"/>
      <c r="B16" s="230"/>
      <c r="C16" s="55" t="s">
        <v>76</v>
      </c>
      <c r="D16" s="223"/>
      <c r="E16" s="222"/>
      <c r="F16" s="227"/>
    </row>
    <row r="17" spans="1:6" s="56" customFormat="1">
      <c r="A17" s="227"/>
      <c r="B17" s="230"/>
      <c r="C17" s="58" t="s">
        <v>77</v>
      </c>
      <c r="D17" s="223"/>
      <c r="E17" s="222"/>
      <c r="F17" s="227"/>
    </row>
    <row r="18" spans="1:6" s="56" customFormat="1">
      <c r="A18" s="76">
        <f>Measurement!K27</f>
        <v>0</v>
      </c>
      <c r="B18" s="59" t="s">
        <v>26</v>
      </c>
      <c r="C18" s="60" t="s">
        <v>70</v>
      </c>
      <c r="D18" s="61">
        <v>88</v>
      </c>
      <c r="E18" s="62" t="str">
        <f t="shared" ref="E18:E23" si="1">B18</f>
        <v>Rmt</v>
      </c>
      <c r="F18" s="79">
        <f t="shared" ref="F18:F23" si="2">A18*D18</f>
        <v>0</v>
      </c>
    </row>
    <row r="19" spans="1:6" s="56" customFormat="1">
      <c r="A19" s="76">
        <f>Measurement!K28</f>
        <v>0</v>
      </c>
      <c r="B19" s="59" t="s">
        <v>26</v>
      </c>
      <c r="C19" s="60" t="s">
        <v>71</v>
      </c>
      <c r="D19" s="61">
        <v>119</v>
      </c>
      <c r="E19" s="62" t="str">
        <f t="shared" si="1"/>
        <v>Rmt</v>
      </c>
      <c r="F19" s="79">
        <f t="shared" si="2"/>
        <v>0</v>
      </c>
    </row>
    <row r="20" spans="1:6" s="56" customFormat="1">
      <c r="A20" s="76">
        <f>Measurement!K29</f>
        <v>122.5</v>
      </c>
      <c r="B20" s="59" t="s">
        <v>26</v>
      </c>
      <c r="C20" s="60" t="s">
        <v>72</v>
      </c>
      <c r="D20" s="61">
        <v>171</v>
      </c>
      <c r="E20" s="62" t="str">
        <f t="shared" si="1"/>
        <v>Rmt</v>
      </c>
      <c r="F20" s="79">
        <f t="shared" si="2"/>
        <v>20947.5</v>
      </c>
    </row>
    <row r="21" spans="1:6" s="56" customFormat="1">
      <c r="A21" s="76">
        <f>Measurement!K30</f>
        <v>0</v>
      </c>
      <c r="B21" s="59" t="s">
        <v>26</v>
      </c>
      <c r="C21" s="63" t="s">
        <v>73</v>
      </c>
      <c r="D21" s="61">
        <v>228</v>
      </c>
      <c r="E21" s="62" t="str">
        <f t="shared" si="1"/>
        <v>Rmt</v>
      </c>
      <c r="F21" s="79">
        <f t="shared" si="2"/>
        <v>0</v>
      </c>
    </row>
    <row r="22" spans="1:6" s="56" customFormat="1">
      <c r="A22" s="76">
        <f>Measurement!K31</f>
        <v>0</v>
      </c>
      <c r="B22" s="59" t="s">
        <v>26</v>
      </c>
      <c r="C22" s="63" t="s">
        <v>74</v>
      </c>
      <c r="D22" s="61">
        <v>340</v>
      </c>
      <c r="E22" s="62" t="str">
        <f t="shared" si="1"/>
        <v>Rmt</v>
      </c>
      <c r="F22" s="79">
        <f t="shared" si="2"/>
        <v>0</v>
      </c>
    </row>
    <row r="23" spans="1:6" s="56" customFormat="1">
      <c r="A23" s="76">
        <f>Measurement!K32</f>
        <v>0</v>
      </c>
      <c r="B23" s="59" t="s">
        <v>26</v>
      </c>
      <c r="C23" s="63" t="s">
        <v>75</v>
      </c>
      <c r="D23" s="61">
        <v>440</v>
      </c>
      <c r="E23" s="62" t="str">
        <f t="shared" si="1"/>
        <v>Rmt</v>
      </c>
      <c r="F23" s="79">
        <f t="shared" si="2"/>
        <v>0</v>
      </c>
    </row>
    <row r="24" spans="1:6" s="56" customFormat="1" ht="201" customHeight="1">
      <c r="A24" s="227"/>
      <c r="B24" s="230"/>
      <c r="C24" s="55" t="s">
        <v>78</v>
      </c>
      <c r="D24" s="223"/>
      <c r="E24" s="222"/>
      <c r="F24" s="227"/>
    </row>
    <row r="25" spans="1:6" s="56" customFormat="1" ht="30">
      <c r="A25" s="227"/>
      <c r="B25" s="230"/>
      <c r="C25" s="58" t="s">
        <v>79</v>
      </c>
      <c r="D25" s="223"/>
      <c r="E25" s="222"/>
      <c r="F25" s="227"/>
    </row>
    <row r="26" spans="1:6" s="66" customFormat="1">
      <c r="A26" s="77">
        <f>Measurement!K35</f>
        <v>0</v>
      </c>
      <c r="B26" s="64" t="s">
        <v>80</v>
      </c>
      <c r="C26" s="65" t="s">
        <v>81</v>
      </c>
      <c r="D26" s="61">
        <v>5138</v>
      </c>
      <c r="E26" s="62" t="str">
        <f>B26</f>
        <v>No.</v>
      </c>
      <c r="F26" s="80">
        <f>A26*D26</f>
        <v>0</v>
      </c>
    </row>
    <row r="27" spans="1:6" s="66" customFormat="1">
      <c r="A27" s="77">
        <f>Measurement!K36</f>
        <v>5</v>
      </c>
      <c r="B27" s="64" t="s">
        <v>80</v>
      </c>
      <c r="C27" s="67" t="s">
        <v>82</v>
      </c>
      <c r="D27" s="61">
        <v>7343</v>
      </c>
      <c r="E27" s="62" t="str">
        <f>B27</f>
        <v>No.</v>
      </c>
      <c r="F27" s="80">
        <f>A27*D27</f>
        <v>36715</v>
      </c>
    </row>
    <row r="28" spans="1:6" s="66" customFormat="1">
      <c r="A28" s="77">
        <f>Measurement!K37</f>
        <v>0</v>
      </c>
      <c r="B28" s="64" t="s">
        <v>80</v>
      </c>
      <c r="C28" s="67" t="s">
        <v>83</v>
      </c>
      <c r="D28" s="61">
        <v>8882</v>
      </c>
      <c r="E28" s="62" t="str">
        <f>B28</f>
        <v>No.</v>
      </c>
      <c r="F28" s="80">
        <f>A28*D28</f>
        <v>0</v>
      </c>
    </row>
    <row r="29" spans="1:6" s="66" customFormat="1">
      <c r="A29" s="77">
        <f>Measurement!K38</f>
        <v>0</v>
      </c>
      <c r="B29" s="64" t="s">
        <v>80</v>
      </c>
      <c r="C29" s="67" t="s">
        <v>84</v>
      </c>
      <c r="D29" s="68">
        <v>10698</v>
      </c>
      <c r="E29" s="62" t="str">
        <f>B29</f>
        <v>No.</v>
      </c>
      <c r="F29" s="80">
        <f>A29*D29</f>
        <v>0</v>
      </c>
    </row>
    <row r="30" spans="1:6" s="56" customFormat="1" ht="45">
      <c r="A30" s="227">
        <f>Measurement!K51</f>
        <v>82</v>
      </c>
      <c r="B30" s="230" t="s">
        <v>35</v>
      </c>
      <c r="C30" s="55" t="s">
        <v>85</v>
      </c>
      <c r="D30" s="3">
        <v>22</v>
      </c>
      <c r="E30" s="222" t="str">
        <f>B30</f>
        <v>Cmt</v>
      </c>
      <c r="F30" s="227">
        <f>TRUNC((D31*A30),2)</f>
        <v>1804</v>
      </c>
    </row>
    <row r="31" spans="1:6" s="56" customFormat="1">
      <c r="A31" s="227"/>
      <c r="B31" s="230"/>
      <c r="C31" s="58" t="s">
        <v>86</v>
      </c>
      <c r="D31" s="3">
        <f>D30</f>
        <v>22</v>
      </c>
      <c r="E31" s="222"/>
      <c r="F31" s="227"/>
    </row>
    <row r="32" spans="1:6" s="56" customFormat="1" ht="105">
      <c r="A32" s="227"/>
      <c r="B32" s="229"/>
      <c r="C32" s="55" t="s">
        <v>87</v>
      </c>
      <c r="D32" s="3"/>
      <c r="E32" s="222"/>
      <c r="F32" s="227"/>
    </row>
    <row r="33" spans="1:7" s="56" customFormat="1">
      <c r="A33" s="227"/>
      <c r="B33" s="229"/>
      <c r="C33" s="58" t="s">
        <v>90</v>
      </c>
      <c r="D33" s="3"/>
      <c r="E33" s="222"/>
      <c r="F33" s="227"/>
    </row>
    <row r="34" spans="1:7" s="66" customFormat="1" ht="15">
      <c r="A34" s="78">
        <f>Measurement!K54</f>
        <v>5</v>
      </c>
      <c r="B34" s="69" t="s">
        <v>30</v>
      </c>
      <c r="C34" s="55" t="s">
        <v>88</v>
      </c>
      <c r="D34" s="69">
        <v>1121</v>
      </c>
      <c r="E34" s="69" t="str">
        <f>B34</f>
        <v>No</v>
      </c>
      <c r="F34" s="81">
        <f>A34*D34</f>
        <v>5605</v>
      </c>
    </row>
    <row r="35" spans="1:7" s="66" customFormat="1" ht="15">
      <c r="A35" s="78">
        <f>Measurement!K55</f>
        <v>5</v>
      </c>
      <c r="B35" s="69" t="s">
        <v>30</v>
      </c>
      <c r="C35" s="55" t="s">
        <v>89</v>
      </c>
      <c r="D35" s="69">
        <v>1173</v>
      </c>
      <c r="E35" s="69" t="str">
        <f>B35</f>
        <v>No</v>
      </c>
      <c r="F35" s="81">
        <f>A35*D35</f>
        <v>5865</v>
      </c>
    </row>
    <row r="36" spans="1:7" s="56" customFormat="1" ht="75">
      <c r="A36" s="227">
        <f>Measurement!K59</f>
        <v>55.125</v>
      </c>
      <c r="B36" s="230" t="s">
        <v>35</v>
      </c>
      <c r="C36" s="55" t="s">
        <v>91</v>
      </c>
      <c r="D36" s="223">
        <v>3652.31</v>
      </c>
      <c r="E36" s="222" t="str">
        <f>B36</f>
        <v>Cmt</v>
      </c>
      <c r="F36" s="227">
        <f>A36*D36</f>
        <v>201333.58875</v>
      </c>
    </row>
    <row r="37" spans="1:7" s="56" customFormat="1" ht="30">
      <c r="A37" s="227"/>
      <c r="B37" s="230"/>
      <c r="C37" s="58" t="s">
        <v>92</v>
      </c>
      <c r="D37" s="223"/>
      <c r="E37" s="222"/>
      <c r="F37" s="227"/>
    </row>
    <row r="38" spans="1:7" s="56" customFormat="1" ht="34.5" customHeight="1">
      <c r="A38" s="227">
        <f>Measurement!K63</f>
        <v>1</v>
      </c>
      <c r="B38" s="230" t="s">
        <v>35</v>
      </c>
      <c r="C38" s="55" t="s">
        <v>93</v>
      </c>
      <c r="D38" s="223">
        <v>306.14</v>
      </c>
      <c r="E38" s="222" t="str">
        <f>B38</f>
        <v>Cmt</v>
      </c>
      <c r="F38" s="227">
        <f>D38*A38</f>
        <v>306.14</v>
      </c>
    </row>
    <row r="39" spans="1:7" s="56" customFormat="1" ht="30">
      <c r="A39" s="227"/>
      <c r="B39" s="230"/>
      <c r="C39" s="58" t="s">
        <v>94</v>
      </c>
      <c r="D39" s="223"/>
      <c r="E39" s="222"/>
      <c r="F39" s="227"/>
    </row>
    <row r="40" spans="1:7" s="70" customFormat="1" ht="15">
      <c r="A40" s="226" t="s">
        <v>21</v>
      </c>
      <c r="B40" s="226"/>
      <c r="C40" s="226"/>
      <c r="D40" s="226"/>
      <c r="E40" s="226"/>
      <c r="F40" s="11">
        <f>SUM(F4:F39)</f>
        <v>382092.72875000001</v>
      </c>
    </row>
    <row r="41" spans="1:7" s="70" customFormat="1" ht="18">
      <c r="A41" s="226" t="s">
        <v>55</v>
      </c>
      <c r="B41" s="226"/>
      <c r="C41" s="226"/>
      <c r="D41" s="226"/>
      <c r="E41" s="226"/>
      <c r="F41" s="12">
        <f>F40*18%</f>
        <v>68776.691175</v>
      </c>
    </row>
    <row r="42" spans="1:7" s="70" customFormat="1" ht="15">
      <c r="A42" s="226" t="s">
        <v>21</v>
      </c>
      <c r="B42" s="226"/>
      <c r="C42" s="226"/>
      <c r="D42" s="226"/>
      <c r="E42" s="226"/>
      <c r="F42" s="11">
        <f>F40+F41</f>
        <v>450869.41992499999</v>
      </c>
    </row>
    <row r="43" spans="1:7" s="70" customFormat="1" ht="18">
      <c r="A43" s="225" t="s">
        <v>24</v>
      </c>
      <c r="B43" s="225"/>
      <c r="C43" s="226"/>
      <c r="D43" s="226"/>
      <c r="E43" s="226"/>
      <c r="F43" s="12">
        <f>Estimate!G21</f>
        <v>450000</v>
      </c>
    </row>
    <row r="44" spans="1:7" s="56" customFormat="1">
      <c r="A44" s="234" t="s">
        <v>36</v>
      </c>
      <c r="B44" s="235"/>
      <c r="C44" s="82"/>
      <c r="D44" s="83"/>
      <c r="E44" s="84"/>
      <c r="F44" s="87"/>
    </row>
    <row r="45" spans="1:7" s="56" customFormat="1">
      <c r="A45" s="232" t="s">
        <v>67</v>
      </c>
      <c r="B45" s="233"/>
      <c r="C45" s="85"/>
      <c r="D45" s="86"/>
      <c r="E45" s="86"/>
      <c r="F45" s="88"/>
      <c r="G45" s="71"/>
    </row>
    <row r="46" spans="1:7" s="56" customFormat="1">
      <c r="A46" s="236" t="str">
        <f>Estimate!G40</f>
        <v>VASO</v>
      </c>
      <c r="B46" s="237"/>
      <c r="C46" s="85"/>
      <c r="D46" s="86"/>
      <c r="E46" s="86"/>
      <c r="F46" s="88"/>
      <c r="G46" s="71"/>
    </row>
    <row r="47" spans="1:7" s="56" customFormat="1">
      <c r="A47" s="92"/>
      <c r="B47" s="93"/>
      <c r="C47" s="89"/>
      <c r="D47" s="90"/>
      <c r="E47" s="90"/>
      <c r="F47" s="91"/>
      <c r="G47" s="71"/>
    </row>
    <row r="48" spans="1:7" s="56" customFormat="1">
      <c r="A48" s="13"/>
      <c r="B48" s="13"/>
      <c r="C48" s="72"/>
      <c r="D48" s="14"/>
      <c r="E48" s="72"/>
      <c r="F48" s="15"/>
      <c r="G48" s="53"/>
    </row>
    <row r="49" spans="1:6" s="56" customFormat="1">
      <c r="A49" s="13"/>
      <c r="B49" s="13"/>
      <c r="C49" s="73"/>
      <c r="D49" s="16"/>
      <c r="E49" s="74"/>
      <c r="F49" s="17"/>
    </row>
    <row r="50" spans="1:6" s="56" customFormat="1">
      <c r="A50" s="13"/>
      <c r="B50" s="13"/>
      <c r="C50" s="73"/>
      <c r="D50" s="16"/>
      <c r="E50" s="74"/>
      <c r="F50" s="17"/>
    </row>
    <row r="51" spans="1:6" s="56" customFormat="1">
      <c r="A51" s="13"/>
      <c r="B51" s="13"/>
      <c r="C51" s="73"/>
      <c r="D51" s="231"/>
      <c r="E51" s="231"/>
      <c r="F51" s="231"/>
    </row>
    <row r="52" spans="1:6" s="56" customFormat="1">
      <c r="A52" s="13"/>
      <c r="B52" s="13"/>
      <c r="C52" s="73"/>
      <c r="D52" s="16"/>
      <c r="E52" s="75"/>
      <c r="F52" s="16"/>
    </row>
    <row r="53" spans="1:6" s="56" customFormat="1">
      <c r="A53" s="13"/>
      <c r="B53" s="13"/>
      <c r="C53" s="73"/>
      <c r="D53" s="16"/>
      <c r="E53" s="75"/>
      <c r="F53" s="16"/>
    </row>
    <row r="54" spans="1:6" s="56" customFormat="1">
      <c r="A54" s="13"/>
      <c r="B54" s="13"/>
      <c r="C54" s="73"/>
      <c r="D54" s="16"/>
      <c r="E54" s="75"/>
      <c r="F54" s="16"/>
    </row>
    <row r="55" spans="1:6" s="56" customFormat="1">
      <c r="A55" s="13"/>
      <c r="B55" s="13"/>
      <c r="C55" s="73"/>
      <c r="D55" s="16"/>
      <c r="E55" s="75"/>
      <c r="F55" s="16"/>
    </row>
    <row r="56" spans="1:6" s="56" customFormat="1">
      <c r="A56" s="13"/>
      <c r="B56" s="13"/>
      <c r="C56" s="73"/>
      <c r="D56" s="16"/>
      <c r="E56" s="75"/>
      <c r="F56" s="16"/>
    </row>
    <row r="57" spans="1:6" s="56" customFormat="1">
      <c r="A57" s="13"/>
      <c r="B57" s="13"/>
      <c r="C57" s="73"/>
      <c r="D57" s="16"/>
      <c r="E57" s="75"/>
      <c r="F57" s="16"/>
    </row>
    <row r="58" spans="1:6" s="56" customFormat="1">
      <c r="A58" s="13"/>
      <c r="B58" s="13"/>
      <c r="C58" s="73"/>
      <c r="D58" s="16"/>
      <c r="E58" s="75"/>
      <c r="F58" s="16"/>
    </row>
    <row r="59" spans="1:6" s="56" customFormat="1">
      <c r="A59" s="13"/>
      <c r="B59" s="13"/>
      <c r="C59" s="73"/>
      <c r="D59" s="16"/>
      <c r="E59" s="75"/>
      <c r="F59" s="16"/>
    </row>
    <row r="60" spans="1:6" s="56" customFormat="1">
      <c r="A60" s="13"/>
      <c r="B60" s="13"/>
      <c r="C60" s="73"/>
      <c r="D60" s="16"/>
      <c r="E60" s="75"/>
      <c r="F60" s="16"/>
    </row>
    <row r="61" spans="1:6" s="56" customFormat="1">
      <c r="A61" s="13"/>
      <c r="B61" s="13"/>
      <c r="C61" s="73"/>
      <c r="D61" s="16"/>
      <c r="E61" s="75"/>
      <c r="F61" s="16"/>
    </row>
    <row r="62" spans="1:6">
      <c r="A62" s="18"/>
      <c r="B62" s="18"/>
      <c r="C62" s="72"/>
      <c r="D62" s="15"/>
      <c r="E62" s="72"/>
      <c r="F62" s="15"/>
    </row>
    <row r="63" spans="1:6">
      <c r="A63" s="18"/>
      <c r="B63" s="18"/>
      <c r="C63" s="72"/>
      <c r="D63" s="15"/>
      <c r="E63" s="72"/>
      <c r="F63" s="15"/>
    </row>
    <row r="64" spans="1:6">
      <c r="A64" s="18"/>
      <c r="B64" s="18"/>
      <c r="C64" s="72"/>
      <c r="D64" s="15"/>
      <c r="E64" s="72"/>
      <c r="F64" s="15"/>
    </row>
    <row r="65" spans="1:6">
      <c r="A65" s="18"/>
      <c r="B65" s="18"/>
      <c r="C65" s="72"/>
      <c r="D65" s="15"/>
      <c r="E65" s="72"/>
      <c r="F65" s="15"/>
    </row>
    <row r="66" spans="1:6">
      <c r="A66" s="18"/>
      <c r="B66" s="18"/>
      <c r="C66" s="72"/>
      <c r="D66" s="15"/>
      <c r="E66" s="72"/>
      <c r="F66" s="15"/>
    </row>
    <row r="67" spans="1:6">
      <c r="A67" s="18"/>
      <c r="B67" s="18"/>
      <c r="C67" s="72"/>
      <c r="D67" s="15"/>
      <c r="E67" s="72"/>
      <c r="F67" s="15"/>
    </row>
    <row r="68" spans="1:6">
      <c r="A68" s="19"/>
      <c r="B68" s="19"/>
    </row>
    <row r="69" spans="1:6">
      <c r="A69" s="19"/>
      <c r="B69" s="19"/>
    </row>
    <row r="70" spans="1:6">
      <c r="A70" s="19"/>
      <c r="B70" s="19"/>
    </row>
    <row r="71" spans="1:6">
      <c r="A71" s="19"/>
      <c r="B71" s="19"/>
    </row>
    <row r="72" spans="1:6">
      <c r="A72" s="19"/>
      <c r="B72" s="19"/>
    </row>
    <row r="73" spans="1:6">
      <c r="A73" s="19"/>
      <c r="B73" s="19"/>
    </row>
    <row r="74" spans="1:6">
      <c r="A74" s="19"/>
      <c r="B74" s="19"/>
    </row>
    <row r="75" spans="1:6">
      <c r="A75" s="19"/>
      <c r="B75" s="19"/>
    </row>
    <row r="76" spans="1:6">
      <c r="A76" s="19"/>
      <c r="B76" s="19"/>
    </row>
    <row r="77" spans="1:6">
      <c r="A77" s="19"/>
      <c r="B77" s="19"/>
    </row>
    <row r="78" spans="1:6">
      <c r="A78" s="19"/>
      <c r="B78" s="19"/>
    </row>
    <row r="79" spans="1:6">
      <c r="A79" s="19"/>
      <c r="B79" s="19"/>
    </row>
    <row r="80" spans="1:6">
      <c r="A80" s="19"/>
      <c r="B80" s="19"/>
    </row>
    <row r="81" spans="1:2">
      <c r="A81" s="19"/>
      <c r="B81" s="19"/>
    </row>
    <row r="82" spans="1:2">
      <c r="A82" s="19"/>
      <c r="B82" s="19"/>
    </row>
    <row r="83" spans="1:2">
      <c r="A83" s="19"/>
      <c r="B83" s="19"/>
    </row>
    <row r="84" spans="1:2">
      <c r="A84" s="19"/>
      <c r="B84" s="19"/>
    </row>
    <row r="85" spans="1:2">
      <c r="A85" s="19"/>
      <c r="B85" s="19"/>
    </row>
    <row r="86" spans="1:2">
      <c r="A86" s="19"/>
      <c r="B86" s="19"/>
    </row>
    <row r="87" spans="1:2">
      <c r="A87" s="19"/>
      <c r="B87" s="19"/>
    </row>
    <row r="88" spans="1:2">
      <c r="A88" s="19"/>
      <c r="B88" s="19"/>
    </row>
    <row r="89" spans="1:2">
      <c r="A89" s="19"/>
      <c r="B89" s="19"/>
    </row>
    <row r="90" spans="1:2">
      <c r="A90" s="19"/>
      <c r="B90" s="19"/>
    </row>
    <row r="91" spans="1:2">
      <c r="A91" s="19"/>
      <c r="B91" s="19"/>
    </row>
    <row r="92" spans="1:2">
      <c r="A92" s="19"/>
      <c r="B92" s="19"/>
    </row>
    <row r="93" spans="1:2">
      <c r="A93" s="19"/>
      <c r="B93" s="19"/>
    </row>
    <row r="94" spans="1:2">
      <c r="A94" s="19"/>
      <c r="B94" s="19"/>
    </row>
    <row r="95" spans="1:2">
      <c r="A95" s="19"/>
      <c r="B95" s="19"/>
    </row>
    <row r="96" spans="1:2">
      <c r="A96" s="19"/>
      <c r="B96" s="19"/>
    </row>
    <row r="97" spans="1:2">
      <c r="A97" s="19"/>
      <c r="B97" s="19"/>
    </row>
    <row r="98" spans="1:2">
      <c r="A98" s="19"/>
      <c r="B98" s="19"/>
    </row>
    <row r="99" spans="1:2">
      <c r="A99" s="19"/>
      <c r="B99" s="19"/>
    </row>
    <row r="100" spans="1:2">
      <c r="A100" s="19"/>
      <c r="B100" s="19"/>
    </row>
    <row r="101" spans="1:2">
      <c r="A101" s="19"/>
      <c r="B101" s="19"/>
    </row>
    <row r="102" spans="1:2">
      <c r="A102" s="19"/>
      <c r="B102" s="19"/>
    </row>
    <row r="103" spans="1:2">
      <c r="A103" s="19"/>
      <c r="B103" s="19"/>
    </row>
    <row r="104" spans="1:2">
      <c r="A104" s="19"/>
      <c r="B104" s="19"/>
    </row>
    <row r="105" spans="1:2">
      <c r="A105" s="19"/>
      <c r="B105" s="19"/>
    </row>
    <row r="106" spans="1:2">
      <c r="A106" s="19"/>
      <c r="B106" s="19"/>
    </row>
    <row r="107" spans="1:2">
      <c r="A107" s="19"/>
      <c r="B107" s="19"/>
    </row>
    <row r="108" spans="1:2">
      <c r="A108" s="19"/>
      <c r="B108" s="19"/>
    </row>
    <row r="109" spans="1:2">
      <c r="A109" s="19"/>
      <c r="B109" s="19"/>
    </row>
    <row r="110" spans="1:2">
      <c r="A110" s="19"/>
      <c r="B110" s="19"/>
    </row>
    <row r="111" spans="1:2">
      <c r="A111" s="19"/>
      <c r="B111" s="19"/>
    </row>
    <row r="112" spans="1:2">
      <c r="A112" s="19"/>
      <c r="B112" s="19"/>
    </row>
    <row r="113" spans="1:2">
      <c r="A113" s="19"/>
      <c r="B113" s="19"/>
    </row>
    <row r="114" spans="1:2">
      <c r="A114" s="19"/>
      <c r="B114" s="19"/>
    </row>
    <row r="115" spans="1:2">
      <c r="A115" s="19"/>
      <c r="B115" s="19"/>
    </row>
    <row r="116" spans="1:2">
      <c r="A116" s="19"/>
      <c r="B116" s="19"/>
    </row>
    <row r="117" spans="1:2">
      <c r="A117" s="19"/>
      <c r="B117" s="19"/>
    </row>
    <row r="118" spans="1:2">
      <c r="A118" s="19"/>
      <c r="B118" s="19"/>
    </row>
    <row r="119" spans="1:2">
      <c r="A119" s="19"/>
      <c r="B119" s="19"/>
    </row>
    <row r="120" spans="1:2">
      <c r="A120" s="19"/>
      <c r="B120" s="19"/>
    </row>
    <row r="121" spans="1:2">
      <c r="A121" s="19"/>
      <c r="B121" s="19"/>
    </row>
    <row r="122" spans="1:2">
      <c r="A122" s="19"/>
      <c r="B122" s="19"/>
    </row>
    <row r="123" spans="1:2">
      <c r="A123" s="19"/>
      <c r="B123" s="19"/>
    </row>
    <row r="124" spans="1:2">
      <c r="A124" s="19"/>
      <c r="B124" s="19"/>
    </row>
    <row r="125" spans="1:2">
      <c r="A125" s="19"/>
      <c r="B125" s="19"/>
    </row>
    <row r="126" spans="1:2">
      <c r="A126" s="19"/>
      <c r="B126" s="19"/>
    </row>
    <row r="127" spans="1:2">
      <c r="A127" s="19"/>
      <c r="B127" s="19"/>
    </row>
    <row r="128" spans="1:2">
      <c r="A128" s="19"/>
      <c r="B128" s="19"/>
    </row>
    <row r="129" spans="1:2">
      <c r="A129" s="19"/>
      <c r="B129" s="19"/>
    </row>
    <row r="130" spans="1:2">
      <c r="A130" s="19"/>
      <c r="B130" s="19"/>
    </row>
    <row r="131" spans="1:2">
      <c r="A131" s="19"/>
      <c r="B131" s="19"/>
    </row>
    <row r="132" spans="1:2">
      <c r="A132" s="19"/>
      <c r="B132" s="19"/>
    </row>
    <row r="133" spans="1:2">
      <c r="A133" s="19"/>
      <c r="B133" s="19"/>
    </row>
    <row r="134" spans="1:2">
      <c r="A134" s="19"/>
      <c r="B134" s="19"/>
    </row>
    <row r="135" spans="1:2">
      <c r="A135" s="19"/>
      <c r="B135" s="19"/>
    </row>
    <row r="136" spans="1:2">
      <c r="A136" s="19"/>
      <c r="B136" s="19"/>
    </row>
    <row r="137" spans="1:2">
      <c r="A137" s="19"/>
      <c r="B137" s="19"/>
    </row>
    <row r="138" spans="1:2">
      <c r="A138" s="19"/>
      <c r="B138" s="19"/>
    </row>
    <row r="139" spans="1:2">
      <c r="A139" s="19"/>
      <c r="B139" s="19"/>
    </row>
    <row r="140" spans="1:2">
      <c r="A140" s="19"/>
      <c r="B140" s="19"/>
    </row>
    <row r="141" spans="1:2">
      <c r="A141" s="19"/>
      <c r="B141" s="19"/>
    </row>
    <row r="142" spans="1:2">
      <c r="A142" s="19"/>
      <c r="B142" s="19"/>
    </row>
    <row r="143" spans="1:2">
      <c r="A143" s="19"/>
      <c r="B143" s="19"/>
    </row>
    <row r="144" spans="1:2">
      <c r="A144" s="19"/>
      <c r="B144" s="19"/>
    </row>
    <row r="145" spans="1:2">
      <c r="A145" s="19"/>
      <c r="B145" s="19"/>
    </row>
    <row r="146" spans="1:2">
      <c r="A146" s="19"/>
      <c r="B146" s="19"/>
    </row>
    <row r="147" spans="1:2">
      <c r="A147" s="19"/>
      <c r="B147" s="19"/>
    </row>
    <row r="148" spans="1:2">
      <c r="A148" s="19"/>
      <c r="B148" s="19"/>
    </row>
    <row r="149" spans="1:2">
      <c r="A149" s="19"/>
      <c r="B149" s="19"/>
    </row>
    <row r="150" spans="1:2">
      <c r="A150" s="19"/>
      <c r="B150" s="19"/>
    </row>
    <row r="151" spans="1:2">
      <c r="A151" s="19"/>
      <c r="B151" s="19"/>
    </row>
    <row r="152" spans="1:2">
      <c r="A152" s="19"/>
      <c r="B152" s="19"/>
    </row>
    <row r="153" spans="1:2">
      <c r="A153" s="19"/>
      <c r="B153" s="19"/>
    </row>
    <row r="154" spans="1:2">
      <c r="A154" s="19"/>
      <c r="B154" s="19"/>
    </row>
    <row r="155" spans="1:2">
      <c r="A155" s="19"/>
      <c r="B155" s="19"/>
    </row>
    <row r="156" spans="1:2">
      <c r="A156" s="19"/>
      <c r="B156" s="19"/>
    </row>
    <row r="157" spans="1:2">
      <c r="A157" s="19"/>
      <c r="B157" s="19"/>
    </row>
    <row r="158" spans="1:2">
      <c r="A158" s="19"/>
      <c r="B158" s="19"/>
    </row>
    <row r="159" spans="1:2">
      <c r="A159" s="19"/>
      <c r="B159" s="19"/>
    </row>
    <row r="160" spans="1:2">
      <c r="A160" s="19"/>
      <c r="B160" s="19"/>
    </row>
    <row r="161" spans="1:2">
      <c r="A161" s="19"/>
      <c r="B161" s="19"/>
    </row>
    <row r="162" spans="1:2">
      <c r="A162" s="19"/>
      <c r="B162" s="19"/>
    </row>
    <row r="163" spans="1:2">
      <c r="A163" s="19"/>
      <c r="B163" s="19"/>
    </row>
    <row r="164" spans="1:2">
      <c r="A164" s="19"/>
      <c r="B164" s="19"/>
    </row>
    <row r="165" spans="1:2">
      <c r="A165" s="19"/>
      <c r="B165" s="19"/>
    </row>
    <row r="166" spans="1:2">
      <c r="A166" s="19"/>
      <c r="B166" s="19"/>
    </row>
    <row r="167" spans="1:2">
      <c r="A167" s="19"/>
      <c r="B167" s="19"/>
    </row>
    <row r="168" spans="1:2">
      <c r="A168" s="19"/>
      <c r="B168" s="19"/>
    </row>
    <row r="169" spans="1:2">
      <c r="A169" s="19"/>
      <c r="B169" s="19"/>
    </row>
    <row r="170" spans="1:2">
      <c r="A170" s="19"/>
      <c r="B170" s="19"/>
    </row>
    <row r="171" spans="1:2">
      <c r="A171" s="19"/>
      <c r="B171" s="19"/>
    </row>
    <row r="172" spans="1:2">
      <c r="A172" s="19"/>
      <c r="B172" s="19"/>
    </row>
    <row r="173" spans="1:2">
      <c r="A173" s="19"/>
      <c r="B173" s="19"/>
    </row>
    <row r="174" spans="1:2">
      <c r="A174" s="19"/>
      <c r="B174" s="19"/>
    </row>
    <row r="175" spans="1:2">
      <c r="A175" s="19"/>
      <c r="B175" s="19"/>
    </row>
    <row r="176" spans="1:2">
      <c r="A176" s="19"/>
      <c r="B176" s="19"/>
    </row>
    <row r="177" spans="1:2">
      <c r="A177" s="19"/>
      <c r="B177" s="19"/>
    </row>
    <row r="178" spans="1:2">
      <c r="A178" s="19"/>
      <c r="B178" s="19"/>
    </row>
    <row r="179" spans="1:2">
      <c r="A179" s="19"/>
      <c r="B179" s="19"/>
    </row>
    <row r="180" spans="1:2">
      <c r="A180" s="19"/>
      <c r="B180" s="19"/>
    </row>
    <row r="181" spans="1:2">
      <c r="A181" s="19"/>
      <c r="B181" s="19"/>
    </row>
    <row r="182" spans="1:2">
      <c r="A182" s="19"/>
      <c r="B182" s="19"/>
    </row>
  </sheetData>
  <mergeCells count="54">
    <mergeCell ref="D4:D5"/>
    <mergeCell ref="D6:D7"/>
    <mergeCell ref="D8:D9"/>
    <mergeCell ref="A36:A37"/>
    <mergeCell ref="B36:B37"/>
    <mergeCell ref="D36:D37"/>
    <mergeCell ref="B24:B25"/>
    <mergeCell ref="A41:E41"/>
    <mergeCell ref="A42:E42"/>
    <mergeCell ref="E36:E37"/>
    <mergeCell ref="F36:F37"/>
    <mergeCell ref="A38:A39"/>
    <mergeCell ref="B38:B39"/>
    <mergeCell ref="E38:E39"/>
    <mergeCell ref="F38:F39"/>
    <mergeCell ref="D38:D39"/>
    <mergeCell ref="F30:F31"/>
    <mergeCell ref="A24:A25"/>
    <mergeCell ref="E32:E33"/>
    <mergeCell ref="F32:F33"/>
    <mergeCell ref="A32:A33"/>
    <mergeCell ref="D24:D25"/>
    <mergeCell ref="A4:A5"/>
    <mergeCell ref="F8:F9"/>
    <mergeCell ref="D51:F51"/>
    <mergeCell ref="E16:E17"/>
    <mergeCell ref="B32:B33"/>
    <mergeCell ref="A16:A17"/>
    <mergeCell ref="A8:A9"/>
    <mergeCell ref="F16:F17"/>
    <mergeCell ref="E8:E9"/>
    <mergeCell ref="F24:F25"/>
    <mergeCell ref="A45:B45"/>
    <mergeCell ref="A44:B44"/>
    <mergeCell ref="A46:B46"/>
    <mergeCell ref="A30:A31"/>
    <mergeCell ref="B30:B31"/>
    <mergeCell ref="E30:E31"/>
    <mergeCell ref="E6:E7"/>
    <mergeCell ref="D16:D17"/>
    <mergeCell ref="A1:F1"/>
    <mergeCell ref="A43:E43"/>
    <mergeCell ref="A40:E40"/>
    <mergeCell ref="F4:F5"/>
    <mergeCell ref="E4:E5"/>
    <mergeCell ref="A6:A7"/>
    <mergeCell ref="A2:B2"/>
    <mergeCell ref="B4:B5"/>
    <mergeCell ref="C2:F2"/>
    <mergeCell ref="E24:E25"/>
    <mergeCell ref="B16:B17"/>
    <mergeCell ref="F6:F7"/>
    <mergeCell ref="B6:B7"/>
    <mergeCell ref="B8:B9"/>
  </mergeCells>
  <phoneticPr fontId="0" type="noConversion"/>
  <printOptions horizontalCentered="1"/>
  <pageMargins left="0.39370078740157483" right="0.39370078740157483" top="0.59055118110236227" bottom="0.47244094488188981" header="0.59055118110236227" footer="0.19685039370078741"/>
  <pageSetup paperSize="9" scale="75" orientation="portrait" verticalDpi="4294967295" r:id="rId1"/>
  <headerFooter alignWithMargins="0"/>
  <rowBreaks count="2" manualBreakCount="2">
    <brk id="29" max="5" man="1"/>
    <brk id="47" max="4"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65"/>
  <sheetViews>
    <sheetView view="pageBreakPreview" zoomScale="90" zoomScaleNormal="100" zoomScaleSheetLayoutView="100" workbookViewId="0">
      <selection activeCell="K15" sqref="K15"/>
    </sheetView>
  </sheetViews>
  <sheetFormatPr defaultColWidth="9.140625" defaultRowHeight="15.75"/>
  <cols>
    <col min="1" max="1" width="4.7109375" style="94" customWidth="1"/>
    <col min="2" max="2" width="26.85546875" style="94" bestFit="1" customWidth="1"/>
    <col min="3" max="3" width="7" style="94" bestFit="1" customWidth="1"/>
    <col min="4" max="4" width="5.28515625" style="95" bestFit="1" customWidth="1"/>
    <col min="5" max="5" width="8.28515625" style="95" bestFit="1" customWidth="1"/>
    <col min="6" max="6" width="2.28515625" style="115" bestFit="1" customWidth="1"/>
    <col min="7" max="7" width="7.28515625" style="95" bestFit="1" customWidth="1"/>
    <col min="8" max="8" width="2.28515625" style="94" bestFit="1" customWidth="1"/>
    <col min="9" max="9" width="7.28515625" style="94" bestFit="1" customWidth="1"/>
    <col min="10" max="10" width="2.5703125" style="94" bestFit="1" customWidth="1"/>
    <col min="11" max="11" width="7.28515625" style="94" bestFit="1" customWidth="1"/>
    <col min="12" max="12" width="5.7109375" style="94" bestFit="1" customWidth="1"/>
    <col min="13" max="13" width="9.140625" style="94"/>
    <col min="14" max="14" width="12.42578125" style="94" bestFit="1" customWidth="1"/>
    <col min="15" max="15" width="10.7109375" style="94" bestFit="1" customWidth="1"/>
    <col min="16" max="16384" width="9.140625" style="94"/>
  </cols>
  <sheetData>
    <row r="1" spans="1:16" ht="21" thickBot="1">
      <c r="A1" s="238" t="s">
        <v>32</v>
      </c>
      <c r="B1" s="239"/>
      <c r="C1" s="239"/>
      <c r="D1" s="239"/>
      <c r="E1" s="239"/>
      <c r="F1" s="239"/>
      <c r="G1" s="239"/>
      <c r="H1" s="239"/>
      <c r="I1" s="239"/>
      <c r="J1" s="239"/>
      <c r="K1" s="239"/>
      <c r="L1" s="240"/>
      <c r="O1" s="95"/>
    </row>
    <row r="2" spans="1:16" ht="48" customHeight="1" thickBot="1">
      <c r="A2" s="247" t="str">
        <f>Abstract!A2</f>
        <v xml:space="preserve">કામ નું નામ :- </v>
      </c>
      <c r="B2" s="248"/>
      <c r="C2" s="249" t="str">
        <f>Estimate!C20</f>
        <v xml:space="preserve">વસો ગામે ગામની મુખ્ય ગટર લાઇનનું કામ. </v>
      </c>
      <c r="D2" s="250"/>
      <c r="E2" s="250"/>
      <c r="F2" s="250"/>
      <c r="G2" s="250"/>
      <c r="H2" s="250"/>
      <c r="I2" s="250"/>
      <c r="J2" s="250"/>
      <c r="K2" s="250"/>
      <c r="L2" s="251"/>
      <c r="O2" s="242"/>
      <c r="P2" s="243"/>
    </row>
    <row r="3" spans="1:16">
      <c r="A3" s="96"/>
      <c r="B3" s="97"/>
      <c r="C3" s="98" t="s">
        <v>30</v>
      </c>
      <c r="D3" s="99" t="s">
        <v>25</v>
      </c>
      <c r="E3" s="99" t="s">
        <v>95</v>
      </c>
      <c r="F3" s="100" t="s">
        <v>25</v>
      </c>
      <c r="G3" s="101" t="s">
        <v>96</v>
      </c>
      <c r="H3" s="102" t="s">
        <v>25</v>
      </c>
      <c r="I3" s="99" t="s">
        <v>97</v>
      </c>
      <c r="J3" s="99" t="s">
        <v>34</v>
      </c>
      <c r="K3" s="103"/>
      <c r="L3" s="104"/>
    </row>
    <row r="4" spans="1:16" ht="34.5" customHeight="1">
      <c r="A4" s="244" t="str">
        <f>Abstract!C4</f>
        <v>ITEM NO 1 : Demolition including stacking of serviceable materilas and disposal of unserviceable materials with all lead and lift. (i) R.C.C. work</v>
      </c>
      <c r="B4" s="245"/>
      <c r="C4" s="245"/>
      <c r="D4" s="245"/>
      <c r="E4" s="245"/>
      <c r="F4" s="245"/>
      <c r="G4" s="245"/>
      <c r="H4" s="245"/>
      <c r="I4" s="245"/>
      <c r="J4" s="245"/>
      <c r="K4" s="245"/>
      <c r="L4" s="246"/>
    </row>
    <row r="5" spans="1:16">
      <c r="A5" s="96"/>
      <c r="B5" s="97"/>
      <c r="C5" s="155">
        <v>1</v>
      </c>
      <c r="D5" s="102" t="s">
        <v>25</v>
      </c>
      <c r="E5" s="8">
        <v>0</v>
      </c>
      <c r="F5" s="98" t="s">
        <v>25</v>
      </c>
      <c r="G5" s="8">
        <v>0.45</v>
      </c>
      <c r="H5" s="99" t="s">
        <v>25</v>
      </c>
      <c r="I5" s="107">
        <v>0.1</v>
      </c>
      <c r="J5" s="108" t="s">
        <v>34</v>
      </c>
      <c r="K5" s="9">
        <f>C5*E5*G5*I5</f>
        <v>0</v>
      </c>
      <c r="L5" s="109"/>
    </row>
    <row r="6" spans="1:16">
      <c r="A6" s="96"/>
      <c r="B6" s="97"/>
      <c r="C6" s="110"/>
      <c r="D6" s="103"/>
      <c r="E6" s="111"/>
      <c r="F6" s="112"/>
      <c r="G6" s="241" t="s">
        <v>117</v>
      </c>
      <c r="H6" s="241"/>
      <c r="I6" s="241"/>
      <c r="J6" s="113" t="s">
        <v>34</v>
      </c>
      <c r="K6" s="4">
        <f>K5</f>
        <v>0</v>
      </c>
      <c r="L6" s="104" t="s">
        <v>28</v>
      </c>
    </row>
    <row r="7" spans="1:16">
      <c r="A7" s="96"/>
      <c r="B7" s="97"/>
      <c r="C7" s="110"/>
      <c r="D7" s="103"/>
      <c r="E7" s="110"/>
      <c r="G7" s="103"/>
      <c r="H7" s="97"/>
      <c r="I7" s="116"/>
      <c r="J7" s="116"/>
      <c r="K7" s="103"/>
      <c r="L7" s="104"/>
    </row>
    <row r="8" spans="1:16" ht="45.75" customHeight="1">
      <c r="A8" s="244" t="str">
        <f>Abstract!C6</f>
        <v>Item No :- 2  Excatation for pipe line trenches incl. all safety provision using site rails &amp; stacking excavated stuff up to a lead of 90 M. cleaing the site etc. complete for lift &amp; strata as specified.(A) in all sorts of soil and soft murrum (a) Upto 1.5 mt. depth</v>
      </c>
      <c r="B8" s="245"/>
      <c r="C8" s="245"/>
      <c r="D8" s="245"/>
      <c r="E8" s="245"/>
      <c r="F8" s="245"/>
      <c r="G8" s="245"/>
      <c r="H8" s="245"/>
      <c r="I8" s="245"/>
      <c r="J8" s="245"/>
      <c r="K8" s="245"/>
      <c r="L8" s="246"/>
    </row>
    <row r="9" spans="1:16" s="106" customFormat="1">
      <c r="A9" s="117"/>
      <c r="B9" s="118" t="s">
        <v>99</v>
      </c>
      <c r="C9" s="156">
        <v>1</v>
      </c>
      <c r="D9" s="118" t="s">
        <v>100</v>
      </c>
      <c r="E9" s="157">
        <v>0</v>
      </c>
      <c r="F9" s="118" t="s">
        <v>100</v>
      </c>
      <c r="G9" s="157">
        <v>0.45</v>
      </c>
      <c r="H9" s="118" t="s">
        <v>100</v>
      </c>
      <c r="I9" s="157">
        <f>0.225+0.6</f>
        <v>0.82499999999999996</v>
      </c>
      <c r="J9" s="118" t="s">
        <v>34</v>
      </c>
      <c r="K9" s="157">
        <f t="shared" ref="K9:K14" si="0">C9*E9*G9*I9</f>
        <v>0</v>
      </c>
      <c r="L9" s="120" t="s">
        <v>35</v>
      </c>
    </row>
    <row r="10" spans="1:16" s="106" customFormat="1">
      <c r="A10" s="117"/>
      <c r="B10" s="118" t="s">
        <v>101</v>
      </c>
      <c r="C10" s="156">
        <v>1</v>
      </c>
      <c r="D10" s="118" t="s">
        <v>100</v>
      </c>
      <c r="E10" s="158">
        <v>0</v>
      </c>
      <c r="F10" s="118" t="s">
        <v>100</v>
      </c>
      <c r="G10" s="157">
        <v>0.45</v>
      </c>
      <c r="H10" s="118" t="s">
        <v>100</v>
      </c>
      <c r="I10" s="157">
        <f>0.3+0.6</f>
        <v>0.89999999999999991</v>
      </c>
      <c r="J10" s="118" t="s">
        <v>34</v>
      </c>
      <c r="K10" s="157">
        <f t="shared" si="0"/>
        <v>0</v>
      </c>
      <c r="L10" s="120" t="s">
        <v>102</v>
      </c>
    </row>
    <row r="11" spans="1:16" s="106" customFormat="1">
      <c r="A11" s="122"/>
      <c r="B11" s="118" t="s">
        <v>103</v>
      </c>
      <c r="C11" s="156">
        <v>1</v>
      </c>
      <c r="D11" s="118" t="s">
        <v>100</v>
      </c>
      <c r="E11" s="158">
        <v>122.5</v>
      </c>
      <c r="F11" s="118" t="s">
        <v>100</v>
      </c>
      <c r="G11" s="157">
        <v>0.75</v>
      </c>
      <c r="H11" s="118" t="s">
        <v>100</v>
      </c>
      <c r="I11" s="157">
        <f>0.45+0.7</f>
        <v>1.1499999999999999</v>
      </c>
      <c r="J11" s="118" t="s">
        <v>34</v>
      </c>
      <c r="K11" s="157">
        <f t="shared" si="0"/>
        <v>105.65624999999999</v>
      </c>
      <c r="L11" s="120" t="s">
        <v>102</v>
      </c>
    </row>
    <row r="12" spans="1:16" s="106" customFormat="1">
      <c r="A12" s="117"/>
      <c r="B12" s="118" t="s">
        <v>104</v>
      </c>
      <c r="C12" s="156">
        <v>1</v>
      </c>
      <c r="D12" s="118" t="s">
        <v>100</v>
      </c>
      <c r="E12" s="158">
        <v>0</v>
      </c>
      <c r="F12" s="118" t="s">
        <v>100</v>
      </c>
      <c r="G12" s="157">
        <v>0.9</v>
      </c>
      <c r="H12" s="118" t="s">
        <v>100</v>
      </c>
      <c r="I12" s="157">
        <f>0.6+0.75</f>
        <v>1.35</v>
      </c>
      <c r="J12" s="118" t="s">
        <v>34</v>
      </c>
      <c r="K12" s="157">
        <f t="shared" si="0"/>
        <v>0</v>
      </c>
      <c r="L12" s="120" t="s">
        <v>102</v>
      </c>
    </row>
    <row r="13" spans="1:16" s="106" customFormat="1">
      <c r="A13" s="117"/>
      <c r="B13" s="118" t="s">
        <v>105</v>
      </c>
      <c r="C13" s="156">
        <v>1</v>
      </c>
      <c r="D13" s="118" t="s">
        <v>100</v>
      </c>
      <c r="E13" s="158">
        <v>0</v>
      </c>
      <c r="F13" s="118" t="s">
        <v>100</v>
      </c>
      <c r="G13" s="157">
        <v>1.2</v>
      </c>
      <c r="H13" s="118" t="s">
        <v>100</v>
      </c>
      <c r="I13" s="157">
        <f>0.9+0.9</f>
        <v>1.8</v>
      </c>
      <c r="J13" s="118" t="s">
        <v>34</v>
      </c>
      <c r="K13" s="157">
        <f t="shared" si="0"/>
        <v>0</v>
      </c>
      <c r="L13" s="120" t="s">
        <v>102</v>
      </c>
    </row>
    <row r="14" spans="1:16" s="106" customFormat="1">
      <c r="A14" s="122"/>
      <c r="B14" s="118" t="s">
        <v>106</v>
      </c>
      <c r="C14" s="156">
        <v>1</v>
      </c>
      <c r="D14" s="118" t="s">
        <v>100</v>
      </c>
      <c r="E14" s="158">
        <v>0</v>
      </c>
      <c r="F14" s="118" t="s">
        <v>100</v>
      </c>
      <c r="G14" s="157">
        <v>1.5</v>
      </c>
      <c r="H14" s="118" t="s">
        <v>100</v>
      </c>
      <c r="I14" s="157">
        <f>1.2+1</f>
        <v>2.2000000000000002</v>
      </c>
      <c r="J14" s="118" t="s">
        <v>34</v>
      </c>
      <c r="K14" s="157">
        <f t="shared" si="0"/>
        <v>0</v>
      </c>
      <c r="L14" s="120" t="s">
        <v>102</v>
      </c>
    </row>
    <row r="15" spans="1:16" s="106" customFormat="1">
      <c r="A15" s="122"/>
      <c r="B15" s="119"/>
      <c r="C15" s="119"/>
      <c r="D15" s="119"/>
      <c r="E15" s="121"/>
      <c r="F15" s="119"/>
      <c r="G15" s="241" t="s">
        <v>117</v>
      </c>
      <c r="H15" s="241"/>
      <c r="I15" s="241"/>
      <c r="J15" s="118" t="s">
        <v>34</v>
      </c>
      <c r="K15" s="157">
        <f>SUM(K9:K14)</f>
        <v>105.65624999999999</v>
      </c>
      <c r="L15" s="118" t="s">
        <v>35</v>
      </c>
    </row>
    <row r="16" spans="1:16" s="106" customFormat="1">
      <c r="A16" s="122"/>
      <c r="B16" s="119"/>
      <c r="C16" s="119"/>
      <c r="D16" s="119"/>
      <c r="E16" s="121"/>
      <c r="F16" s="119"/>
      <c r="G16" s="241" t="s">
        <v>20</v>
      </c>
      <c r="H16" s="241"/>
      <c r="I16" s="241"/>
      <c r="J16" s="118" t="s">
        <v>34</v>
      </c>
      <c r="K16" s="157">
        <f>ROUNDUP(K15,0)</f>
        <v>106</v>
      </c>
      <c r="L16" s="118" t="s">
        <v>35</v>
      </c>
    </row>
    <row r="17" spans="1:16">
      <c r="A17" s="96"/>
      <c r="B17" s="97"/>
      <c r="C17" s="97"/>
      <c r="D17" s="103"/>
      <c r="E17" s="103"/>
      <c r="F17" s="116"/>
      <c r="G17" s="103"/>
      <c r="H17" s="97"/>
      <c r="J17" s="105"/>
      <c r="K17" s="103"/>
      <c r="L17" s="104"/>
    </row>
    <row r="18" spans="1:16" ht="98.25" customHeight="1">
      <c r="A18" s="244" t="str">
        <f>Abstract!C8</f>
        <v>Item No :- 3   Providing &amp; supplying ISI standard R.C.C. pipe (or Sulphate Resistance cement) in standard length of following class &amp; diameter suitable for either collar joints or rubber ring joints  including  all taxes, insurance, transportation, freight charges, octroi, inspection charges,loading, unloading, conveyance to departmental stores, stacking etc. comp.    ( IS - 458 / 1989 ) for following dia.d) Class NP2 Test Pressure, 0.7 Kg/sq.cm</v>
      </c>
      <c r="B18" s="245"/>
      <c r="C18" s="245"/>
      <c r="D18" s="245"/>
      <c r="E18" s="245"/>
      <c r="F18" s="245"/>
      <c r="G18" s="245"/>
      <c r="H18" s="245"/>
      <c r="I18" s="245"/>
      <c r="J18" s="245"/>
      <c r="K18" s="245"/>
      <c r="L18" s="246"/>
      <c r="M18" s="123"/>
      <c r="N18" s="123"/>
      <c r="O18" s="123"/>
      <c r="P18" s="123"/>
    </row>
    <row r="19" spans="1:16" s="131" customFormat="1" ht="15">
      <c r="A19" s="124"/>
      <c r="B19" s="125" t="s">
        <v>99</v>
      </c>
      <c r="C19" s="159">
        <f t="shared" ref="C19:C24" si="1">C9</f>
        <v>1</v>
      </c>
      <c r="D19" s="125" t="s">
        <v>100</v>
      </c>
      <c r="E19" s="160">
        <f t="shared" ref="E19:E24" si="2">E9</f>
        <v>0</v>
      </c>
      <c r="F19" s="126"/>
      <c r="G19" s="126"/>
      <c r="H19" s="126"/>
      <c r="I19" s="126"/>
      <c r="J19" s="128" t="s">
        <v>34</v>
      </c>
      <c r="K19" s="161">
        <f t="shared" ref="K19:K24" si="3">E19</f>
        <v>0</v>
      </c>
      <c r="L19" s="130" t="s">
        <v>108</v>
      </c>
    </row>
    <row r="20" spans="1:16" s="131" customFormat="1" ht="15">
      <c r="A20" s="124"/>
      <c r="B20" s="125" t="s">
        <v>101</v>
      </c>
      <c r="C20" s="159">
        <f t="shared" si="1"/>
        <v>1</v>
      </c>
      <c r="D20" s="125" t="s">
        <v>100</v>
      </c>
      <c r="E20" s="160">
        <f t="shared" si="2"/>
        <v>0</v>
      </c>
      <c r="F20" s="126"/>
      <c r="G20" s="126"/>
      <c r="H20" s="126"/>
      <c r="I20" s="126"/>
      <c r="J20" s="128" t="s">
        <v>34</v>
      </c>
      <c r="K20" s="161">
        <f t="shared" si="3"/>
        <v>0</v>
      </c>
      <c r="L20" s="130" t="s">
        <v>108</v>
      </c>
    </row>
    <row r="21" spans="1:16" s="131" customFormat="1" ht="15">
      <c r="A21" s="124"/>
      <c r="B21" s="125" t="s">
        <v>103</v>
      </c>
      <c r="C21" s="159">
        <f t="shared" si="1"/>
        <v>1</v>
      </c>
      <c r="D21" s="125" t="s">
        <v>100</v>
      </c>
      <c r="E21" s="160">
        <f t="shared" si="2"/>
        <v>122.5</v>
      </c>
      <c r="F21" s="126"/>
      <c r="G21" s="126"/>
      <c r="H21" s="126"/>
      <c r="I21" s="126"/>
      <c r="J21" s="128" t="s">
        <v>34</v>
      </c>
      <c r="K21" s="161">
        <f t="shared" si="3"/>
        <v>122.5</v>
      </c>
      <c r="L21" s="130" t="s">
        <v>108</v>
      </c>
    </row>
    <row r="22" spans="1:16" s="131" customFormat="1" ht="15">
      <c r="A22" s="124"/>
      <c r="B22" s="125" t="s">
        <v>104</v>
      </c>
      <c r="C22" s="159">
        <f t="shared" si="1"/>
        <v>1</v>
      </c>
      <c r="D22" s="125" t="s">
        <v>100</v>
      </c>
      <c r="E22" s="160">
        <f t="shared" si="2"/>
        <v>0</v>
      </c>
      <c r="F22" s="126"/>
      <c r="G22" s="126"/>
      <c r="H22" s="126"/>
      <c r="I22" s="126"/>
      <c r="J22" s="128" t="s">
        <v>34</v>
      </c>
      <c r="K22" s="161">
        <f t="shared" si="3"/>
        <v>0</v>
      </c>
      <c r="L22" s="130" t="s">
        <v>108</v>
      </c>
    </row>
    <row r="23" spans="1:16" s="131" customFormat="1" ht="15">
      <c r="A23" s="124"/>
      <c r="B23" s="125" t="s">
        <v>105</v>
      </c>
      <c r="C23" s="159">
        <f t="shared" si="1"/>
        <v>1</v>
      </c>
      <c r="D23" s="125" t="s">
        <v>100</v>
      </c>
      <c r="E23" s="160">
        <f t="shared" si="2"/>
        <v>0</v>
      </c>
      <c r="F23" s="126"/>
      <c r="G23" s="126"/>
      <c r="H23" s="126"/>
      <c r="I23" s="126"/>
      <c r="J23" s="128" t="s">
        <v>34</v>
      </c>
      <c r="K23" s="161">
        <f t="shared" si="3"/>
        <v>0</v>
      </c>
      <c r="L23" s="130" t="s">
        <v>108</v>
      </c>
    </row>
    <row r="24" spans="1:16" s="102" customFormat="1">
      <c r="A24" s="132"/>
      <c r="B24" s="125" t="s">
        <v>106</v>
      </c>
      <c r="C24" s="159">
        <f t="shared" si="1"/>
        <v>1</v>
      </c>
      <c r="D24" s="125" t="s">
        <v>100</v>
      </c>
      <c r="E24" s="160">
        <f t="shared" si="2"/>
        <v>0</v>
      </c>
      <c r="F24" s="126"/>
      <c r="G24" s="126"/>
      <c r="H24" s="126"/>
      <c r="I24" s="126"/>
      <c r="J24" s="128" t="s">
        <v>34</v>
      </c>
      <c r="K24" s="161">
        <f t="shared" si="3"/>
        <v>0</v>
      </c>
      <c r="L24" s="130" t="s">
        <v>108</v>
      </c>
      <c r="M24" s="133"/>
      <c r="N24" s="53"/>
      <c r="O24" s="53"/>
      <c r="P24" s="53"/>
    </row>
    <row r="25" spans="1:16" s="102" customFormat="1">
      <c r="A25" s="132"/>
      <c r="B25" s="125"/>
      <c r="C25" s="126"/>
      <c r="D25" s="126"/>
      <c r="E25" s="127"/>
      <c r="F25" s="126"/>
      <c r="G25" s="126"/>
      <c r="H25" s="126"/>
      <c r="I25" s="126"/>
      <c r="J25" s="134"/>
      <c r="K25" s="129"/>
      <c r="L25" s="128"/>
      <c r="M25" s="133"/>
      <c r="N25" s="53"/>
      <c r="O25" s="53"/>
      <c r="P25" s="53"/>
    </row>
    <row r="26" spans="1:16" ht="60.75" customHeight="1">
      <c r="A26" s="244" t="str">
        <f>Abstract!C16</f>
        <v>Item No :- 4 Lowing laying &amp; joining R.C.C. pipes in C.M. 1:1 1/2 of follwing diameter in proper position garde aligment as directed by Engg. Incl. Conveyance from store to site of work labour giving hydraulic testing as per ISI code etc. comple incl.</v>
      </c>
      <c r="B26" s="245"/>
      <c r="C26" s="245"/>
      <c r="D26" s="245"/>
      <c r="E26" s="245"/>
      <c r="F26" s="245"/>
      <c r="G26" s="245"/>
      <c r="H26" s="245"/>
      <c r="I26" s="245"/>
      <c r="J26" s="245"/>
      <c r="K26" s="245"/>
      <c r="L26" s="246"/>
    </row>
    <row r="27" spans="1:16" s="131" customFormat="1" ht="15">
      <c r="A27" s="124"/>
      <c r="B27" s="125" t="s">
        <v>99</v>
      </c>
      <c r="C27" s="126">
        <f t="shared" ref="C27:C32" si="4">C19</f>
        <v>1</v>
      </c>
      <c r="D27" s="125" t="s">
        <v>100</v>
      </c>
      <c r="E27" s="160">
        <f t="shared" ref="E27:E32" si="5">E19</f>
        <v>0</v>
      </c>
      <c r="F27" s="126"/>
      <c r="G27" s="126"/>
      <c r="H27" s="126"/>
      <c r="I27" s="126"/>
      <c r="J27" s="128" t="s">
        <v>34</v>
      </c>
      <c r="K27" s="161">
        <f t="shared" ref="K27:K32" si="6">C27*E27</f>
        <v>0</v>
      </c>
      <c r="L27" s="130" t="s">
        <v>108</v>
      </c>
    </row>
    <row r="28" spans="1:16" s="131" customFormat="1" ht="15">
      <c r="A28" s="124"/>
      <c r="B28" s="125" t="s">
        <v>101</v>
      </c>
      <c r="C28" s="126">
        <f t="shared" si="4"/>
        <v>1</v>
      </c>
      <c r="D28" s="125" t="s">
        <v>100</v>
      </c>
      <c r="E28" s="160">
        <f t="shared" si="5"/>
        <v>0</v>
      </c>
      <c r="F28" s="126"/>
      <c r="G28" s="126"/>
      <c r="H28" s="126"/>
      <c r="I28" s="126"/>
      <c r="J28" s="128" t="s">
        <v>34</v>
      </c>
      <c r="K28" s="161">
        <f t="shared" si="6"/>
        <v>0</v>
      </c>
      <c r="L28" s="130" t="s">
        <v>108</v>
      </c>
    </row>
    <row r="29" spans="1:16" s="131" customFormat="1" ht="15">
      <c r="A29" s="124"/>
      <c r="B29" s="125" t="s">
        <v>103</v>
      </c>
      <c r="C29" s="126">
        <f t="shared" si="4"/>
        <v>1</v>
      </c>
      <c r="D29" s="125" t="s">
        <v>100</v>
      </c>
      <c r="E29" s="160">
        <f t="shared" si="5"/>
        <v>122.5</v>
      </c>
      <c r="F29" s="126"/>
      <c r="G29" s="126"/>
      <c r="H29" s="126"/>
      <c r="I29" s="126"/>
      <c r="J29" s="128" t="s">
        <v>34</v>
      </c>
      <c r="K29" s="161">
        <f t="shared" si="6"/>
        <v>122.5</v>
      </c>
      <c r="L29" s="130" t="s">
        <v>108</v>
      </c>
    </row>
    <row r="30" spans="1:16" s="131" customFormat="1" ht="15">
      <c r="A30" s="124"/>
      <c r="B30" s="125" t="s">
        <v>104</v>
      </c>
      <c r="C30" s="126">
        <f t="shared" si="4"/>
        <v>1</v>
      </c>
      <c r="D30" s="125" t="s">
        <v>100</v>
      </c>
      <c r="E30" s="160">
        <f t="shared" si="5"/>
        <v>0</v>
      </c>
      <c r="F30" s="126"/>
      <c r="G30" s="126"/>
      <c r="H30" s="126"/>
      <c r="I30" s="126"/>
      <c r="J30" s="128" t="s">
        <v>34</v>
      </c>
      <c r="K30" s="161">
        <f t="shared" si="6"/>
        <v>0</v>
      </c>
      <c r="L30" s="130" t="s">
        <v>108</v>
      </c>
    </row>
    <row r="31" spans="1:16" s="131" customFormat="1" ht="15">
      <c r="A31" s="124"/>
      <c r="B31" s="125" t="s">
        <v>105</v>
      </c>
      <c r="C31" s="126">
        <f t="shared" si="4"/>
        <v>1</v>
      </c>
      <c r="D31" s="125" t="s">
        <v>100</v>
      </c>
      <c r="E31" s="160">
        <f t="shared" si="5"/>
        <v>0</v>
      </c>
      <c r="F31" s="126"/>
      <c r="G31" s="126"/>
      <c r="H31" s="126"/>
      <c r="I31" s="126"/>
      <c r="J31" s="128" t="s">
        <v>34</v>
      </c>
      <c r="K31" s="161">
        <f t="shared" si="6"/>
        <v>0</v>
      </c>
      <c r="L31" s="130" t="s">
        <v>108</v>
      </c>
    </row>
    <row r="32" spans="1:16" s="102" customFormat="1">
      <c r="A32" s="132"/>
      <c r="B32" s="125" t="s">
        <v>106</v>
      </c>
      <c r="C32" s="126">
        <f t="shared" si="4"/>
        <v>1</v>
      </c>
      <c r="D32" s="125" t="s">
        <v>100</v>
      </c>
      <c r="E32" s="160">
        <f t="shared" si="5"/>
        <v>0</v>
      </c>
      <c r="F32" s="126"/>
      <c r="G32" s="126"/>
      <c r="H32" s="126"/>
      <c r="I32" s="126"/>
      <c r="J32" s="128" t="s">
        <v>34</v>
      </c>
      <c r="K32" s="161">
        <f t="shared" si="6"/>
        <v>0</v>
      </c>
      <c r="L32" s="130" t="s">
        <v>108</v>
      </c>
      <c r="M32" s="133"/>
      <c r="N32" s="53"/>
      <c r="O32" s="53"/>
      <c r="P32" s="53"/>
    </row>
    <row r="33" spans="1:12">
      <c r="A33" s="96"/>
      <c r="B33" s="97"/>
      <c r="C33" s="103"/>
      <c r="D33" s="103"/>
      <c r="E33" s="103"/>
      <c r="F33" s="103"/>
      <c r="G33" s="103"/>
      <c r="H33" s="113"/>
      <c r="I33" s="113"/>
      <c r="J33" s="108"/>
      <c r="K33" s="114"/>
      <c r="L33" s="135"/>
    </row>
    <row r="34" spans="1:12" ht="143.25" customHeight="1">
      <c r="A34" s="244" t="str">
        <f>Abstract!C24</f>
        <v>Item No:- 5 Constructing of  valve chambers in brick or bela stone masonary, locally available in C.M. 1:6. Foundation concrete 150 mm thick in C.C. 1:4:8 of trap metal size 25 mm to 40 mm thick, inside cement plater in C.M. 1:3 and cement pointing outside in C.M. 1:3 and top  cover of precast RCC slab 100 mm thick (with key hole in two parts, each with handles or MS Bar etc. comp.e as given size) Upto 1 Mt. depth from G.L. to pipe invert level incl. complete civil works but excluding cost of excavation and refilling. With cast in situ RCC slab in one single piece with fixing of CI - MH Frame and cover (excl. cost of CI -MH Frame &amp; cover) with 23 mm thick brick masonary wall in C.M. 1:6.</v>
      </c>
      <c r="B34" s="245"/>
      <c r="C34" s="245"/>
      <c r="D34" s="245"/>
      <c r="E34" s="245"/>
      <c r="F34" s="245"/>
      <c r="G34" s="245"/>
      <c r="H34" s="245"/>
      <c r="I34" s="245"/>
      <c r="J34" s="245"/>
      <c r="K34" s="245"/>
      <c r="L34" s="246"/>
    </row>
    <row r="35" spans="1:12" s="66" customFormat="1" ht="15">
      <c r="A35" s="136"/>
      <c r="B35" s="118" t="s">
        <v>110</v>
      </c>
      <c r="C35" s="119">
        <v>1</v>
      </c>
      <c r="D35" s="118" t="s">
        <v>100</v>
      </c>
      <c r="E35" s="157">
        <v>0</v>
      </c>
      <c r="F35" s="119"/>
      <c r="G35" s="119"/>
      <c r="H35" s="119"/>
      <c r="I35" s="119"/>
      <c r="J35" s="137" t="s">
        <v>34</v>
      </c>
      <c r="K35" s="162">
        <f>E35</f>
        <v>0</v>
      </c>
      <c r="L35" s="138" t="s">
        <v>80</v>
      </c>
    </row>
    <row r="36" spans="1:12" s="66" customFormat="1" ht="15">
      <c r="A36" s="136"/>
      <c r="B36" s="118" t="s">
        <v>109</v>
      </c>
      <c r="C36" s="119">
        <v>1</v>
      </c>
      <c r="D36" s="118" t="s">
        <v>100</v>
      </c>
      <c r="E36" s="157">
        <v>5</v>
      </c>
      <c r="F36" s="119"/>
      <c r="G36" s="119"/>
      <c r="H36" s="119"/>
      <c r="I36" s="119"/>
      <c r="J36" s="137" t="s">
        <v>34</v>
      </c>
      <c r="K36" s="162">
        <f>E36</f>
        <v>5</v>
      </c>
      <c r="L36" s="138" t="s">
        <v>80</v>
      </c>
    </row>
    <row r="37" spans="1:12" s="66" customFormat="1" ht="15">
      <c r="A37" s="136"/>
      <c r="B37" s="118" t="s">
        <v>111</v>
      </c>
      <c r="C37" s="119">
        <v>1</v>
      </c>
      <c r="D37" s="118" t="s">
        <v>100</v>
      </c>
      <c r="E37" s="157">
        <v>0</v>
      </c>
      <c r="F37" s="119"/>
      <c r="G37" s="119"/>
      <c r="H37" s="119"/>
      <c r="I37" s="119"/>
      <c r="J37" s="137" t="s">
        <v>34</v>
      </c>
      <c r="K37" s="162">
        <f>E37</f>
        <v>0</v>
      </c>
      <c r="L37" s="138" t="s">
        <v>80</v>
      </c>
    </row>
    <row r="38" spans="1:12" s="102" customFormat="1">
      <c r="A38" s="139"/>
      <c r="B38" s="118" t="s">
        <v>112</v>
      </c>
      <c r="C38" s="119">
        <v>1</v>
      </c>
      <c r="D38" s="118" t="s">
        <v>100</v>
      </c>
      <c r="E38" s="157">
        <v>0</v>
      </c>
      <c r="F38" s="119"/>
      <c r="G38" s="119"/>
      <c r="H38" s="119"/>
      <c r="I38" s="119"/>
      <c r="J38" s="137" t="s">
        <v>34</v>
      </c>
      <c r="K38" s="162">
        <f>E38</f>
        <v>0</v>
      </c>
      <c r="L38" s="138" t="s">
        <v>80</v>
      </c>
    </row>
    <row r="39" spans="1:12">
      <c r="A39" s="96"/>
      <c r="B39" s="97"/>
      <c r="C39" s="103"/>
      <c r="D39" s="103"/>
      <c r="E39" s="103"/>
      <c r="F39" s="103"/>
      <c r="G39" s="103"/>
      <c r="H39" s="97"/>
      <c r="I39" s="103"/>
      <c r="J39" s="108"/>
      <c r="K39" s="103"/>
      <c r="L39" s="104"/>
    </row>
    <row r="40" spans="1:12">
      <c r="A40" s="244" t="str">
        <f>Abstract!C30</f>
        <v>Item No :- 6  Reflling the pipeline trencher incl. ramming watering comsolidating disposial of surplus stuff as directed withing radius of 3 K.M.</v>
      </c>
      <c r="B40" s="245"/>
      <c r="C40" s="245"/>
      <c r="D40" s="245"/>
      <c r="E40" s="245"/>
      <c r="F40" s="245"/>
      <c r="G40" s="245"/>
      <c r="H40" s="245"/>
      <c r="I40" s="245"/>
      <c r="J40" s="245"/>
      <c r="K40" s="245"/>
      <c r="L40" s="246"/>
    </row>
    <row r="41" spans="1:12">
      <c r="A41" s="244"/>
      <c r="B41" s="245"/>
      <c r="C41" s="245"/>
      <c r="D41" s="245"/>
      <c r="E41" s="245"/>
      <c r="F41" s="245"/>
      <c r="G41" s="245"/>
      <c r="H41" s="245"/>
      <c r="I41" s="245"/>
      <c r="J41" s="245"/>
      <c r="K41" s="245"/>
      <c r="L41" s="246"/>
    </row>
    <row r="42" spans="1:12" s="145" customFormat="1" ht="15">
      <c r="A42" s="140"/>
      <c r="B42" s="141" t="s">
        <v>113</v>
      </c>
      <c r="C42" s="142"/>
      <c r="D42" s="142"/>
      <c r="E42" s="143"/>
      <c r="F42" s="143"/>
      <c r="G42" s="252" t="s">
        <v>114</v>
      </c>
      <c r="H42" s="252"/>
      <c r="I42" s="252"/>
      <c r="J42" s="137" t="s">
        <v>34</v>
      </c>
      <c r="K42" s="163">
        <f>K16</f>
        <v>106</v>
      </c>
      <c r="L42" s="120" t="s">
        <v>115</v>
      </c>
    </row>
    <row r="43" spans="1:12" s="145" customFormat="1" ht="14.25">
      <c r="A43" s="140"/>
      <c r="B43" s="146" t="s">
        <v>99</v>
      </c>
      <c r="C43" s="144">
        <v>0.78500000000000003</v>
      </c>
      <c r="D43" s="144" t="s">
        <v>100</v>
      </c>
      <c r="E43" s="147">
        <v>0.3</v>
      </c>
      <c r="F43" s="144" t="s">
        <v>100</v>
      </c>
      <c r="G43" s="147">
        <f t="shared" ref="G43:G48" si="7">E43</f>
        <v>0.3</v>
      </c>
      <c r="H43" s="144" t="s">
        <v>100</v>
      </c>
      <c r="I43" s="165">
        <f t="shared" ref="I43:I48" si="8">E9</f>
        <v>0</v>
      </c>
      <c r="J43" s="118" t="s">
        <v>34</v>
      </c>
      <c r="K43" s="164">
        <f>C43*E43*G43*I43</f>
        <v>0</v>
      </c>
      <c r="L43" s="120" t="s">
        <v>35</v>
      </c>
    </row>
    <row r="44" spans="1:12" s="145" customFormat="1" ht="14.25">
      <c r="A44" s="140"/>
      <c r="B44" s="146" t="s">
        <v>101</v>
      </c>
      <c r="C44" s="144">
        <v>0.78500000000000003</v>
      </c>
      <c r="D44" s="144" t="s">
        <v>100</v>
      </c>
      <c r="E44" s="147">
        <v>0.35</v>
      </c>
      <c r="F44" s="144" t="s">
        <v>100</v>
      </c>
      <c r="G44" s="147">
        <f t="shared" si="7"/>
        <v>0.35</v>
      </c>
      <c r="H44" s="144" t="s">
        <v>100</v>
      </c>
      <c r="I44" s="165">
        <f t="shared" si="8"/>
        <v>0</v>
      </c>
      <c r="J44" s="118" t="s">
        <v>34</v>
      </c>
      <c r="K44" s="164">
        <f>C44*E44*G44*I44</f>
        <v>0</v>
      </c>
      <c r="L44" s="120" t="s">
        <v>35</v>
      </c>
    </row>
    <row r="45" spans="1:12" s="145" customFormat="1" ht="14.25">
      <c r="A45" s="140"/>
      <c r="B45" s="146" t="s">
        <v>116</v>
      </c>
      <c r="C45" s="144">
        <v>0.78500000000000003</v>
      </c>
      <c r="D45" s="144" t="s">
        <v>100</v>
      </c>
      <c r="E45" s="147">
        <v>0.5</v>
      </c>
      <c r="F45" s="144" t="s">
        <v>100</v>
      </c>
      <c r="G45" s="147">
        <f t="shared" si="7"/>
        <v>0.5</v>
      </c>
      <c r="H45" s="144" t="s">
        <v>100</v>
      </c>
      <c r="I45" s="165">
        <f t="shared" si="8"/>
        <v>122.5</v>
      </c>
      <c r="J45" s="118" t="s">
        <v>34</v>
      </c>
      <c r="K45" s="164">
        <f t="shared" ref="K45:K48" si="9">C45*E45*G45*I45</f>
        <v>24.040625000000002</v>
      </c>
      <c r="L45" s="120" t="s">
        <v>35</v>
      </c>
    </row>
    <row r="46" spans="1:12" s="145" customFormat="1" ht="14.25">
      <c r="A46" s="140"/>
      <c r="B46" s="146" t="s">
        <v>104</v>
      </c>
      <c r="C46" s="144">
        <v>0.78500000000000003</v>
      </c>
      <c r="D46" s="144" t="s">
        <v>100</v>
      </c>
      <c r="E46" s="147">
        <v>0.65</v>
      </c>
      <c r="F46" s="144" t="s">
        <v>100</v>
      </c>
      <c r="G46" s="147">
        <f t="shared" si="7"/>
        <v>0.65</v>
      </c>
      <c r="H46" s="144" t="s">
        <v>100</v>
      </c>
      <c r="I46" s="165">
        <f t="shared" si="8"/>
        <v>0</v>
      </c>
      <c r="J46" s="118" t="s">
        <v>34</v>
      </c>
      <c r="K46" s="164">
        <f>C46*E46*G46*I46</f>
        <v>0</v>
      </c>
      <c r="L46" s="120" t="s">
        <v>35</v>
      </c>
    </row>
    <row r="47" spans="1:12" s="145" customFormat="1" ht="14.25">
      <c r="A47" s="140"/>
      <c r="B47" s="146" t="s">
        <v>105</v>
      </c>
      <c r="C47" s="144">
        <v>0.78500000000000003</v>
      </c>
      <c r="D47" s="144" t="s">
        <v>100</v>
      </c>
      <c r="E47" s="147">
        <v>1</v>
      </c>
      <c r="F47" s="144" t="s">
        <v>100</v>
      </c>
      <c r="G47" s="147">
        <f t="shared" si="7"/>
        <v>1</v>
      </c>
      <c r="H47" s="144" t="s">
        <v>100</v>
      </c>
      <c r="I47" s="165">
        <f t="shared" si="8"/>
        <v>0</v>
      </c>
      <c r="J47" s="118" t="s">
        <v>34</v>
      </c>
      <c r="K47" s="164">
        <f t="shared" si="9"/>
        <v>0</v>
      </c>
      <c r="L47" s="120" t="s">
        <v>35</v>
      </c>
    </row>
    <row r="48" spans="1:12" s="145" customFormat="1" ht="14.25">
      <c r="A48" s="140"/>
      <c r="B48" s="148" t="s">
        <v>106</v>
      </c>
      <c r="C48" s="144">
        <v>0.78500000000000003</v>
      </c>
      <c r="D48" s="144" t="s">
        <v>100</v>
      </c>
      <c r="E48" s="147">
        <v>1.3</v>
      </c>
      <c r="F48" s="144" t="s">
        <v>100</v>
      </c>
      <c r="G48" s="147">
        <f t="shared" si="7"/>
        <v>1.3</v>
      </c>
      <c r="H48" s="144" t="s">
        <v>100</v>
      </c>
      <c r="I48" s="165">
        <f t="shared" si="8"/>
        <v>0</v>
      </c>
      <c r="J48" s="118" t="s">
        <v>34</v>
      </c>
      <c r="K48" s="164">
        <f t="shared" si="9"/>
        <v>0</v>
      </c>
      <c r="L48" s="120" t="s">
        <v>35</v>
      </c>
    </row>
    <row r="49" spans="1:12" s="145" customFormat="1" ht="15">
      <c r="A49" s="140"/>
      <c r="B49" s="119"/>
      <c r="C49" s="142"/>
      <c r="D49" s="142"/>
      <c r="E49" s="143"/>
      <c r="F49" s="142"/>
      <c r="G49" s="253" t="s">
        <v>117</v>
      </c>
      <c r="H49" s="253"/>
      <c r="I49" s="253"/>
      <c r="J49" s="118" t="s">
        <v>34</v>
      </c>
      <c r="K49" s="165">
        <f>SUM(K43:K48)</f>
        <v>24.040625000000002</v>
      </c>
      <c r="L49" s="120" t="s">
        <v>35</v>
      </c>
    </row>
    <row r="50" spans="1:12" s="145" customFormat="1">
      <c r="A50" s="140"/>
      <c r="B50" s="149"/>
      <c r="C50" s="119"/>
      <c r="D50" s="119"/>
      <c r="E50" s="2" t="s">
        <v>118</v>
      </c>
      <c r="F50" s="2" t="s">
        <v>34</v>
      </c>
      <c r="G50" s="165">
        <f>K42</f>
        <v>106</v>
      </c>
      <c r="H50" s="166" t="s">
        <v>119</v>
      </c>
      <c r="I50" s="165">
        <f>K49</f>
        <v>24.040625000000002</v>
      </c>
      <c r="J50" s="118" t="s">
        <v>34</v>
      </c>
      <c r="K50" s="165">
        <f>G50-I50</f>
        <v>81.959374999999994</v>
      </c>
      <c r="L50" s="120" t="s">
        <v>115</v>
      </c>
    </row>
    <row r="51" spans="1:12" s="145" customFormat="1" ht="15">
      <c r="A51" s="140"/>
      <c r="B51" s="149"/>
      <c r="C51" s="119"/>
      <c r="D51" s="119"/>
      <c r="E51" s="149"/>
      <c r="F51" s="149"/>
      <c r="G51" s="149"/>
      <c r="H51" s="149"/>
      <c r="I51" s="150" t="s">
        <v>20</v>
      </c>
      <c r="J51" s="137" t="s">
        <v>34</v>
      </c>
      <c r="K51" s="163">
        <f>ROUNDUP(K50,0)</f>
        <v>82</v>
      </c>
      <c r="L51" s="138" t="s">
        <v>115</v>
      </c>
    </row>
    <row r="52" spans="1:12">
      <c r="A52" s="151"/>
      <c r="B52" s="151"/>
      <c r="C52" s="151"/>
      <c r="D52" s="152"/>
      <c r="E52" s="152"/>
      <c r="F52" s="153"/>
      <c r="G52" s="152"/>
      <c r="H52" s="151"/>
      <c r="I52" s="254"/>
      <c r="J52" s="254"/>
      <c r="K52" s="254"/>
      <c r="L52" s="154"/>
    </row>
    <row r="53" spans="1:12" ht="74.25" customHeight="1">
      <c r="A53" s="244" t="str">
        <f>Abstract!C32</f>
        <v xml:space="preserve">Item No:- 7  R.C.C. precast M.H.Frame &amp; Cover Manufacture, supply &amp; Delivery at store or at site  of work precast R.C.C. M.200 Frame &amp; cover suitable to drainage M.H. and as per type design  &amp; Drawing including cost of reinforcement M.S.Angle or Flate, curring mold work etc.
(A) Heavy Duty  </v>
      </c>
      <c r="B53" s="245"/>
      <c r="C53" s="245"/>
      <c r="D53" s="245"/>
      <c r="E53" s="245"/>
      <c r="F53" s="245"/>
      <c r="G53" s="245"/>
      <c r="H53" s="245"/>
      <c r="I53" s="245"/>
      <c r="J53" s="245"/>
      <c r="K53" s="245"/>
      <c r="L53" s="246"/>
    </row>
    <row r="54" spans="1:12" s="145" customFormat="1" ht="15">
      <c r="A54" s="140"/>
      <c r="B54" s="148" t="s">
        <v>120</v>
      </c>
      <c r="C54" s="119">
        <v>1</v>
      </c>
      <c r="D54" s="118" t="s">
        <v>100</v>
      </c>
      <c r="E54" s="157">
        <f>SUM(K35:K38)</f>
        <v>5</v>
      </c>
      <c r="F54" s="119"/>
      <c r="G54" s="119"/>
      <c r="H54" s="119"/>
      <c r="I54" s="119"/>
      <c r="J54" s="137" t="s">
        <v>34</v>
      </c>
      <c r="K54" s="162">
        <f>E54</f>
        <v>5</v>
      </c>
      <c r="L54" s="138" t="s">
        <v>80</v>
      </c>
    </row>
    <row r="55" spans="1:12" s="145" customFormat="1" ht="15">
      <c r="A55" s="140"/>
      <c r="B55" s="148" t="s">
        <v>121</v>
      </c>
      <c r="C55" s="119">
        <v>1</v>
      </c>
      <c r="D55" s="118" t="s">
        <v>100</v>
      </c>
      <c r="E55" s="157">
        <f>E54</f>
        <v>5</v>
      </c>
      <c r="F55" s="119"/>
      <c r="G55" s="119"/>
      <c r="H55" s="119"/>
      <c r="I55" s="119"/>
      <c r="J55" s="137" t="s">
        <v>34</v>
      </c>
      <c r="K55" s="162">
        <f>E55</f>
        <v>5</v>
      </c>
      <c r="L55" s="138" t="s">
        <v>80</v>
      </c>
    </row>
    <row r="56" spans="1:12">
      <c r="A56" s="96"/>
      <c r="B56" s="97"/>
      <c r="C56" s="110"/>
      <c r="D56" s="103"/>
      <c r="E56" s="110"/>
      <c r="G56" s="103"/>
      <c r="H56" s="97"/>
      <c r="I56" s="116"/>
      <c r="J56" s="116"/>
      <c r="K56" s="103"/>
      <c r="L56" s="104"/>
    </row>
    <row r="57" spans="1:12" ht="54" customHeight="1">
      <c r="A57" s="244" t="str">
        <f>Abstract!C36</f>
        <v xml:space="preserve">Item No. 8  Providing and laying cement concrete 1:2:4 (1- Cement : 2- Coarse sand : 4- graded  stone aggregates 20 mm nominal size) and curing complete excluding cost of formwork in (A) Foundation and Plinth </v>
      </c>
      <c r="B57" s="245"/>
      <c r="C57" s="245"/>
      <c r="D57" s="245"/>
      <c r="E57" s="245"/>
      <c r="F57" s="245"/>
      <c r="G57" s="245"/>
      <c r="H57" s="245"/>
      <c r="I57" s="245"/>
      <c r="J57" s="245"/>
      <c r="K57" s="245"/>
      <c r="L57" s="246"/>
    </row>
    <row r="58" spans="1:12">
      <c r="A58" s="96"/>
      <c r="B58" s="97"/>
      <c r="C58" s="106">
        <v>1</v>
      </c>
      <c r="D58" s="102" t="s">
        <v>25</v>
      </c>
      <c r="E58" s="8">
        <f>SUM(E9:E14)</f>
        <v>122.5</v>
      </c>
      <c r="F58" s="5" t="s">
        <v>25</v>
      </c>
      <c r="G58" s="8">
        <f>G5</f>
        <v>0.45</v>
      </c>
      <c r="H58" s="167" t="s">
        <v>25</v>
      </c>
      <c r="I58" s="8">
        <v>0.05</v>
      </c>
      <c r="J58" s="168" t="s">
        <v>34</v>
      </c>
      <c r="K58" s="9">
        <f>C58*E58*G58</f>
        <v>55.125</v>
      </c>
      <c r="L58" s="109"/>
    </row>
    <row r="59" spans="1:12">
      <c r="A59" s="96"/>
      <c r="B59" s="97"/>
      <c r="C59" s="110"/>
      <c r="D59" s="103"/>
      <c r="E59" s="111"/>
      <c r="F59" s="112"/>
      <c r="G59" s="253" t="s">
        <v>117</v>
      </c>
      <c r="H59" s="253"/>
      <c r="I59" s="253"/>
      <c r="J59" s="113" t="s">
        <v>34</v>
      </c>
      <c r="K59" s="4">
        <f>SUM(K58:K58)</f>
        <v>55.125</v>
      </c>
      <c r="L59" s="104" t="s">
        <v>35</v>
      </c>
    </row>
    <row r="60" spans="1:12">
      <c r="A60" s="96"/>
      <c r="B60" s="97"/>
      <c r="C60" s="110"/>
      <c r="D60" s="103"/>
      <c r="E60" s="110"/>
      <c r="G60" s="103"/>
      <c r="H60" s="97"/>
      <c r="I60" s="116"/>
      <c r="J60" s="116"/>
      <c r="K60" s="103"/>
      <c r="L60" s="104"/>
    </row>
    <row r="61" spans="1:12" ht="34.5" customHeight="1">
      <c r="A61" s="244" t="str">
        <f>Abstract!C38</f>
        <v xml:space="preserve">Item No. 9  Providing and fixing Number plate of marble stone of requiered size set in C.M. 1:4  etc. comp.         </v>
      </c>
      <c r="B61" s="245"/>
      <c r="C61" s="245"/>
      <c r="D61" s="245"/>
      <c r="E61" s="245"/>
      <c r="F61" s="245"/>
      <c r="G61" s="245"/>
      <c r="H61" s="245"/>
      <c r="I61" s="245"/>
      <c r="J61" s="245"/>
      <c r="K61" s="245"/>
      <c r="L61" s="246"/>
    </row>
    <row r="62" spans="1:12">
      <c r="A62" s="96"/>
      <c r="B62" s="97"/>
      <c r="C62" s="106">
        <v>1</v>
      </c>
      <c r="D62" s="102" t="s">
        <v>25</v>
      </c>
      <c r="E62" s="8">
        <v>1</v>
      </c>
      <c r="F62" s="98"/>
      <c r="G62" s="107"/>
      <c r="H62" s="99"/>
      <c r="I62" s="107"/>
      <c r="J62" s="108" t="s">
        <v>34</v>
      </c>
      <c r="K62" s="9">
        <f>C62*E62</f>
        <v>1</v>
      </c>
      <c r="L62" s="104" t="s">
        <v>30</v>
      </c>
    </row>
    <row r="63" spans="1:12">
      <c r="A63" s="96"/>
      <c r="B63" s="97"/>
      <c r="C63" s="110"/>
      <c r="D63" s="103"/>
      <c r="E63" s="111"/>
      <c r="F63" s="112"/>
      <c r="G63" s="253" t="s">
        <v>117</v>
      </c>
      <c r="H63" s="253"/>
      <c r="I63" s="253"/>
      <c r="J63" s="113" t="s">
        <v>34</v>
      </c>
      <c r="K63" s="4">
        <f>SUM(K62:K62)</f>
        <v>1</v>
      </c>
      <c r="L63" s="104" t="s">
        <v>30</v>
      </c>
    </row>
    <row r="64" spans="1:12">
      <c r="A64" s="97"/>
      <c r="B64" s="97"/>
      <c r="C64" s="97"/>
      <c r="D64" s="103"/>
      <c r="E64" s="103"/>
      <c r="F64" s="116"/>
      <c r="G64" s="103"/>
      <c r="H64" s="97"/>
    </row>
    <row r="65" spans="1:8">
      <c r="A65" s="97"/>
      <c r="B65" s="97"/>
      <c r="C65" s="97"/>
      <c r="D65" s="103"/>
      <c r="E65" s="103"/>
      <c r="F65" s="116"/>
      <c r="G65" s="103"/>
      <c r="H65" s="97"/>
    </row>
  </sheetData>
  <mergeCells count="21">
    <mergeCell ref="G63:I63"/>
    <mergeCell ref="G59:I59"/>
    <mergeCell ref="G49:I49"/>
    <mergeCell ref="A53:L53"/>
    <mergeCell ref="A57:L57"/>
    <mergeCell ref="A61:L61"/>
    <mergeCell ref="I52:K52"/>
    <mergeCell ref="A18:L18"/>
    <mergeCell ref="A40:L41"/>
    <mergeCell ref="A34:L34"/>
    <mergeCell ref="A26:L26"/>
    <mergeCell ref="G42:I42"/>
    <mergeCell ref="A1:L1"/>
    <mergeCell ref="G15:I15"/>
    <mergeCell ref="G16:I16"/>
    <mergeCell ref="O2:P2"/>
    <mergeCell ref="A8:L8"/>
    <mergeCell ref="A4:L4"/>
    <mergeCell ref="A2:B2"/>
    <mergeCell ref="C2:L2"/>
    <mergeCell ref="G6:I6"/>
  </mergeCells>
  <phoneticPr fontId="0" type="noConversion"/>
  <printOptions horizontalCentered="1"/>
  <pageMargins left="0.39370078740157483" right="0.39370078740157483" top="0.59055118110236227" bottom="0.39370078740157483" header="0.15748031496062992" footer="0.27559055118110237"/>
  <pageSetup paperSize="9" scale="88" orientation="portrait" verticalDpi="4294967295" r:id="rId1"/>
  <headerFooter alignWithMargins="0"/>
  <rowBreaks count="1" manualBreakCount="1">
    <brk id="33"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36"/>
  <sheetViews>
    <sheetView view="pageBreakPreview" zoomScale="90" zoomScaleNormal="100" zoomScaleSheetLayoutView="90" workbookViewId="0">
      <selection activeCell="B1" sqref="B1:I1"/>
    </sheetView>
  </sheetViews>
  <sheetFormatPr defaultColWidth="9.140625" defaultRowHeight="12.75"/>
  <cols>
    <col min="1" max="1" width="17.140625" style="1" customWidth="1"/>
    <col min="2" max="2" width="13.28515625" style="1" bestFit="1" customWidth="1"/>
    <col min="3" max="3" width="9.42578125" style="1" customWidth="1"/>
    <col min="4" max="4" width="10.5703125" style="1" customWidth="1"/>
    <col min="5" max="5" width="5.42578125" style="1" customWidth="1"/>
    <col min="6" max="6" width="14.5703125" style="1" customWidth="1"/>
    <col min="7" max="7" width="13.140625" style="1" customWidth="1"/>
    <col min="8" max="16384" width="9.140625" style="1"/>
  </cols>
  <sheetData>
    <row r="1" spans="1:9" ht="52.5" customHeight="1">
      <c r="A1" s="169" t="str">
        <f>Abstract!A2</f>
        <v xml:space="preserve">કામ નું નામ :- </v>
      </c>
      <c r="B1" s="180" t="str">
        <f>Abstract!C2</f>
        <v xml:space="preserve">વસો ગામે ગામની મુખ્ય ગટર લાઇનનું કામ. </v>
      </c>
      <c r="C1" s="180"/>
      <c r="D1" s="180"/>
      <c r="E1" s="180"/>
      <c r="F1" s="180"/>
      <c r="G1" s="180"/>
      <c r="H1" s="180"/>
      <c r="I1" s="180"/>
    </row>
    <row r="2" spans="1:9">
      <c r="A2" s="82"/>
      <c r="B2" s="82"/>
      <c r="C2" s="82"/>
      <c r="D2" s="82"/>
      <c r="E2" s="7"/>
      <c r="H2" s="6"/>
      <c r="I2" s="6"/>
    </row>
    <row r="3" spans="1:9" ht="15.75">
      <c r="A3" s="179" t="s">
        <v>124</v>
      </c>
      <c r="B3" s="179"/>
      <c r="C3" s="179"/>
      <c r="D3" s="179"/>
      <c r="E3" s="179"/>
      <c r="F3" s="179"/>
      <c r="G3" s="179"/>
      <c r="H3" s="6"/>
      <c r="I3" s="6"/>
    </row>
    <row r="4" spans="1:9" ht="38.25">
      <c r="A4" s="170" t="s">
        <v>41</v>
      </c>
      <c r="B4" s="170" t="s">
        <v>42</v>
      </c>
      <c r="C4" s="171" t="s">
        <v>43</v>
      </c>
      <c r="D4" s="170"/>
      <c r="E4" s="170" t="s">
        <v>44</v>
      </c>
      <c r="F4" s="170"/>
      <c r="G4" s="170" t="s">
        <v>19</v>
      </c>
      <c r="H4" s="6"/>
      <c r="I4" s="6"/>
    </row>
    <row r="5" spans="1:9">
      <c r="A5" s="170">
        <v>1</v>
      </c>
      <c r="B5" s="170" t="s">
        <v>45</v>
      </c>
      <c r="C5" s="172">
        <v>0</v>
      </c>
      <c r="D5" s="172" t="s">
        <v>25</v>
      </c>
      <c r="E5" s="172">
        <v>578</v>
      </c>
      <c r="F5" s="172" t="s">
        <v>34</v>
      </c>
      <c r="G5" s="170">
        <f t="shared" ref="G5:G14" si="0">C5*E5</f>
        <v>0</v>
      </c>
    </row>
    <row r="6" spans="1:9" ht="15.75" customHeight="1">
      <c r="A6" s="170">
        <v>2</v>
      </c>
      <c r="B6" s="170" t="s">
        <v>46</v>
      </c>
      <c r="C6" s="172">
        <v>0</v>
      </c>
      <c r="D6" s="172" t="s">
        <v>25</v>
      </c>
      <c r="E6" s="172">
        <v>388</v>
      </c>
      <c r="F6" s="172" t="s">
        <v>34</v>
      </c>
      <c r="G6" s="170">
        <f t="shared" si="0"/>
        <v>0</v>
      </c>
    </row>
    <row r="7" spans="1:9">
      <c r="A7" s="170">
        <v>3</v>
      </c>
      <c r="B7" s="170" t="s">
        <v>47</v>
      </c>
      <c r="C7" s="172">
        <v>0</v>
      </c>
      <c r="D7" s="172" t="s">
        <v>25</v>
      </c>
      <c r="E7" s="172">
        <v>788</v>
      </c>
      <c r="F7" s="172" t="s">
        <v>34</v>
      </c>
      <c r="G7" s="170">
        <f t="shared" si="0"/>
        <v>0</v>
      </c>
    </row>
    <row r="8" spans="1:9" ht="15.75" customHeight="1">
      <c r="A8" s="170">
        <v>4</v>
      </c>
      <c r="B8" s="170" t="s">
        <v>48</v>
      </c>
      <c r="C8" s="172">
        <v>0</v>
      </c>
      <c r="D8" s="172" t="s">
        <v>25</v>
      </c>
      <c r="E8" s="172">
        <v>238</v>
      </c>
      <c r="F8" s="172" t="s">
        <v>34</v>
      </c>
      <c r="G8" s="170">
        <f t="shared" si="0"/>
        <v>0</v>
      </c>
    </row>
    <row r="9" spans="1:9">
      <c r="A9" s="170">
        <v>5</v>
      </c>
      <c r="B9" s="170" t="s">
        <v>49</v>
      </c>
      <c r="C9" s="172">
        <v>0</v>
      </c>
      <c r="D9" s="172" t="s">
        <v>25</v>
      </c>
      <c r="E9" s="172">
        <v>546</v>
      </c>
      <c r="F9" s="172" t="s">
        <v>34</v>
      </c>
      <c r="G9" s="170">
        <f t="shared" si="0"/>
        <v>0</v>
      </c>
    </row>
    <row r="10" spans="1:9">
      <c r="A10" s="170">
        <v>6</v>
      </c>
      <c r="B10" s="170" t="s">
        <v>50</v>
      </c>
      <c r="C10" s="172">
        <v>0</v>
      </c>
      <c r="D10" s="172" t="s">
        <v>25</v>
      </c>
      <c r="E10" s="172">
        <v>696</v>
      </c>
      <c r="F10" s="172" t="s">
        <v>34</v>
      </c>
      <c r="G10" s="170">
        <f t="shared" si="0"/>
        <v>0</v>
      </c>
    </row>
    <row r="11" spans="1:9">
      <c r="A11" s="170">
        <v>7</v>
      </c>
      <c r="B11" s="170" t="s">
        <v>51</v>
      </c>
      <c r="C11" s="172">
        <v>0</v>
      </c>
      <c r="D11" s="172" t="s">
        <v>25</v>
      </c>
      <c r="E11" s="172">
        <v>220</v>
      </c>
      <c r="F11" s="172" t="s">
        <v>34</v>
      </c>
      <c r="G11" s="170">
        <f t="shared" si="0"/>
        <v>0</v>
      </c>
    </row>
    <row r="12" spans="1:9">
      <c r="A12" s="170">
        <v>8</v>
      </c>
      <c r="B12" s="170" t="s">
        <v>52</v>
      </c>
      <c r="C12" s="172">
        <v>0</v>
      </c>
      <c r="D12" s="172" t="s">
        <v>25</v>
      </c>
      <c r="E12" s="172">
        <v>294</v>
      </c>
      <c r="F12" s="172" t="s">
        <v>34</v>
      </c>
      <c r="G12" s="170">
        <f t="shared" si="0"/>
        <v>0</v>
      </c>
    </row>
    <row r="13" spans="1:9">
      <c r="A13" s="170">
        <v>9</v>
      </c>
      <c r="B13" s="170" t="s">
        <v>53</v>
      </c>
      <c r="C13" s="172">
        <v>0</v>
      </c>
      <c r="D13" s="172" t="s">
        <v>25</v>
      </c>
      <c r="E13" s="172">
        <v>300</v>
      </c>
      <c r="F13" s="172" t="s">
        <v>34</v>
      </c>
      <c r="G13" s="170">
        <f t="shared" si="0"/>
        <v>0</v>
      </c>
    </row>
    <row r="14" spans="1:9">
      <c r="A14" s="170">
        <v>10</v>
      </c>
      <c r="B14" s="170" t="s">
        <v>54</v>
      </c>
      <c r="C14" s="172">
        <v>1</v>
      </c>
      <c r="D14" s="172" t="s">
        <v>25</v>
      </c>
      <c r="E14" s="172">
        <v>300</v>
      </c>
      <c r="F14" s="172" t="s">
        <v>34</v>
      </c>
      <c r="G14" s="170">
        <f t="shared" si="0"/>
        <v>300</v>
      </c>
    </row>
    <row r="15" spans="1:9">
      <c r="A15" s="170"/>
      <c r="B15" s="173"/>
      <c r="C15" s="173"/>
      <c r="D15" s="173"/>
      <c r="E15" s="173"/>
      <c r="F15" s="173"/>
      <c r="G15" s="170">
        <f>SUM(G5:G14)</f>
        <v>300</v>
      </c>
    </row>
    <row r="17" spans="1:9" ht="20.25">
      <c r="A17" s="178" t="s">
        <v>56</v>
      </c>
      <c r="B17" s="178"/>
      <c r="C17" s="178"/>
      <c r="D17" s="178"/>
      <c r="E17" s="178"/>
      <c r="F17" s="178"/>
      <c r="G17" s="178"/>
      <c r="H17" s="174"/>
    </row>
    <row r="26" spans="1:9" ht="15">
      <c r="H26" s="175"/>
      <c r="I26" s="175"/>
    </row>
    <row r="27" spans="1:9" ht="15">
      <c r="H27" s="176"/>
      <c r="I27" s="176"/>
    </row>
    <row r="28" spans="1:9" ht="15">
      <c r="H28" s="51"/>
      <c r="I28" s="51"/>
    </row>
    <row r="34" spans="7:7" ht="15">
      <c r="G34" s="175" t="s">
        <v>36</v>
      </c>
    </row>
    <row r="35" spans="7:7" ht="15">
      <c r="G35" s="176" t="s">
        <v>37</v>
      </c>
    </row>
    <row r="36" spans="7:7" ht="15">
      <c r="G36" s="177" t="str">
        <f>Abstract!A46</f>
        <v>VASO</v>
      </c>
    </row>
  </sheetData>
  <mergeCells count="3">
    <mergeCell ref="A17:G17"/>
    <mergeCell ref="A3:G3"/>
    <mergeCell ref="B1:I1"/>
  </mergeCells>
  <phoneticPr fontId="0" type="noConversion"/>
  <pageMargins left="0.78" right="0.5" top="1" bottom="0.69" header="0.5" footer="0.5"/>
  <pageSetup paperSize="9" scale="8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Estimate</vt:lpstr>
      <vt:lpstr>Abstract</vt:lpstr>
      <vt:lpstr>Measurement</vt:lpstr>
      <vt:lpstr>TEST-SITE</vt:lpstr>
      <vt:lpstr>Abstract!Print_Area</vt:lpstr>
      <vt:lpstr>Estimate!Print_Area</vt:lpstr>
      <vt:lpstr>Measurement!Print_Area</vt:lpstr>
      <vt:lpstr>'TEST-SITE'!Print_Area</vt:lpstr>
      <vt:lpstr>Abstract!Print_Titles</vt:lpstr>
    </vt:vector>
  </TitlesOfParts>
  <Company>PATEL ENGINEERS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DIVYAKANT</dc:creator>
  <cp:lastModifiedBy>Admin</cp:lastModifiedBy>
  <cp:lastPrinted>2026-09-29T06:32:39Z</cp:lastPrinted>
  <dcterms:created xsi:type="dcterms:W3CDTF">2005-03-18T12:02:53Z</dcterms:created>
  <dcterms:modified xsi:type="dcterms:W3CDTF">2026-09-29T07:05:27Z</dcterms:modified>
</cp:coreProperties>
</file>