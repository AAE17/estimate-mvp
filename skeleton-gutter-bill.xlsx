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D:\SO+\grok-mvp\3.Gutter\"/>
    </mc:Choice>
  </mc:AlternateContent>
  <bookViews>
    <workbookView xWindow="-120" yWindow="-120" windowWidth="29040" windowHeight="15720" activeTab="1"/>
  </bookViews>
  <sheets>
    <sheet name="21 No. P.A. Form" sheetId="21" r:id="rId1"/>
    <sheet name="Bill" sheetId="22" r:id="rId2"/>
    <sheet name="COMP-14MU NAN" sheetId="45" r:id="rId3"/>
  </sheets>
  <externalReferences>
    <externalReference r:id="rId4"/>
  </externalReferences>
  <definedNames>
    <definedName name="_nmw1">[1]lead!$B$2</definedName>
    <definedName name="_xlnm.Print_Area" localSheetId="0">'21 No. P.A. Form'!$A$1:$J$36</definedName>
    <definedName name="_xlnm.Print_Area" localSheetId="1">Bill!$A$1:$G$40</definedName>
    <definedName name="_xlnm.Print_Area" localSheetId="2">'COMP-14MU NAN'!$A$1:$H$21</definedName>
    <definedName name="TABLE1">#REF!</definedName>
    <definedName name="TABLE2">#REF!</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22" l="1"/>
  <c r="B28" i="22" s="1"/>
  <c r="E28" i="22" l="1"/>
  <c r="B19" i="22"/>
  <c r="E19" i="22" s="1"/>
  <c r="B18" i="22"/>
  <c r="E18" i="22" s="1"/>
  <c r="B17" i="22"/>
  <c r="E17" i="22" s="1"/>
  <c r="B16" i="22"/>
  <c r="E16" i="22" s="1"/>
  <c r="B15" i="22"/>
  <c r="E15" i="22" s="1"/>
  <c r="B14" i="22"/>
  <c r="E14" i="22" s="1"/>
  <c r="E30" i="22"/>
  <c r="E29" i="22"/>
  <c r="E27" i="22"/>
  <c r="E25" i="22"/>
  <c r="E24" i="22"/>
  <c r="E23" i="22"/>
  <c r="E21" i="22"/>
  <c r="E12" i="22"/>
  <c r="E11" i="22"/>
  <c r="E10" i="22"/>
  <c r="E9" i="22"/>
  <c r="E8" i="22"/>
  <c r="E7" i="22"/>
  <c r="E5" i="22"/>
  <c r="E4" i="22"/>
  <c r="E22" i="22"/>
  <c r="E31" i="22" l="1"/>
  <c r="E32" i="22" s="1"/>
  <c r="E33" i="22" s="1"/>
  <c r="E34" i="22" s="1"/>
  <c r="C11" i="45" s="1"/>
  <c r="A20" i="45"/>
  <c r="G9" i="21"/>
  <c r="C2" i="45"/>
  <c r="C3" i="45"/>
  <c r="C7" i="45"/>
  <c r="C8" i="45"/>
  <c r="F8" i="45"/>
  <c r="C10" i="45"/>
  <c r="C12" i="45"/>
  <c r="D12" i="45"/>
  <c r="E12" i="45"/>
  <c r="F12" i="45"/>
  <c r="G12" i="45"/>
  <c r="H12" i="45"/>
  <c r="A1" i="22"/>
</calcChain>
</file>

<file path=xl/sharedStrings.xml><?xml version="1.0" encoding="utf-8"?>
<sst xmlns="http://schemas.openxmlformats.org/spreadsheetml/2006/main" count="154" uniqueCount="109">
  <si>
    <t>TALUKA PANCHAYAT</t>
  </si>
  <si>
    <t xml:space="preserve">નોંધ :- (જુઓ નિયમ - ૧૪૪) </t>
  </si>
  <si>
    <t xml:space="preserve">પી.એ.ફોર્મ </t>
  </si>
  <si>
    <t xml:space="preserve">પ્રથમ-છેવટનું બિલ </t>
  </si>
  <si>
    <t xml:space="preserve">માપ સામે તપાસ્યુ છે અને ખરૂ માલુમ પડયું છે. </t>
  </si>
  <si>
    <t>એ માપો તપાસ્યા અને જોયું અને રૂ....................... /-</t>
  </si>
  <si>
    <t xml:space="preserve">નું બિલ  મંજુર કર્યુ. </t>
  </si>
  <si>
    <t xml:space="preserve">પે.વિ.અ.ના કારકુનની ટુંકી સહી </t>
  </si>
  <si>
    <t xml:space="preserve">ઓવરશીયર </t>
  </si>
  <si>
    <t xml:space="preserve">સહી તથા તારીખ </t>
  </si>
  <si>
    <t xml:space="preserve">તપાસી  જોયુ </t>
  </si>
  <si>
    <t xml:space="preserve">મુખાલસી કરી </t>
  </si>
  <si>
    <t xml:space="preserve">હિસાબ તપાસણી કરનાર કારકુનની ટુંકી સહી </t>
  </si>
  <si>
    <t xml:space="preserve">એક્ઝીક્યુટીવ એન્જીનીઅર </t>
  </si>
  <si>
    <t xml:space="preserve">બીલની રકમ મળી </t>
  </si>
  <si>
    <t xml:space="preserve">તારીખ </t>
  </si>
  <si>
    <t xml:space="preserve">તાલુકા /જીલ્લા/પંચાયત </t>
  </si>
  <si>
    <t xml:space="preserve">નાણા મેળવનારની સહી અથવા અંગુઠાની છાપ </t>
  </si>
  <si>
    <t>નાણાં લેનાર અભણ હોય તો</t>
  </si>
  <si>
    <t xml:space="preserve">રૂ....................................) આપવા </t>
  </si>
  <si>
    <t xml:space="preserve">સાક્ષીની સહી તથા તારીખ </t>
  </si>
  <si>
    <t xml:space="preserve">તારીખ...................... ..... હિસાબનીશ </t>
  </si>
  <si>
    <t xml:space="preserve">હિસાબનીશ </t>
  </si>
  <si>
    <t xml:space="preserve">મંત્રી </t>
  </si>
  <si>
    <t xml:space="preserve">તાલુકા/ જીલ્લા/પંચાયત </t>
  </si>
  <si>
    <t xml:space="preserve">.................................તારીખનો ચેક ક્રમાંક      થી </t>
  </si>
  <si>
    <t xml:space="preserve">ખાતે ઉધાર્યા. </t>
  </si>
  <si>
    <t xml:space="preserve">પગાર કર્યા અને તે નાણાં </t>
  </si>
  <si>
    <t xml:space="preserve">ખાતાવહી પાનું </t>
  </si>
  <si>
    <t xml:space="preserve">વાઉચર  ક્રમાંક </t>
  </si>
  <si>
    <t>કામ અથવા માલની રકમ (અંદાજની પેટા સદરો પ્રમાણે સમુહમાં ગોઠવેલ)</t>
  </si>
  <si>
    <t xml:space="preserve">આજ તારીખ સુધીનું પરીણામ </t>
  </si>
  <si>
    <t xml:space="preserve">દર </t>
  </si>
  <si>
    <t xml:space="preserve">દીઠ </t>
  </si>
  <si>
    <t xml:space="preserve">આજ તારીખ સુધીની રકમ </t>
  </si>
  <si>
    <t xml:space="preserve">આગલા બીલથી આજ તારીખ સુધીની રકમ </t>
  </si>
  <si>
    <t xml:space="preserve">શેરો </t>
  </si>
  <si>
    <t xml:space="preserve">Cu.m </t>
  </si>
  <si>
    <t>no.</t>
  </si>
  <si>
    <t>Rs.</t>
  </si>
  <si>
    <t xml:space="preserve">આપવાની ચોખ્ખી રકમ </t>
  </si>
  <si>
    <t xml:space="preserve">બીલ સ્વીકાર્યાના પ્રતિકરૂપે કોન્ટ્રાક્ટર અથવા છુટક કામ કરનારની સહી તથા તારીખ </t>
  </si>
  <si>
    <t>COMPLETION CERTIFICATE</t>
  </si>
  <si>
    <t>GRANT</t>
  </si>
  <si>
    <t>:-</t>
  </si>
  <si>
    <t xml:space="preserve">NAME OF WORK </t>
  </si>
  <si>
    <t>DETAILS OF T.S.</t>
  </si>
  <si>
    <t>AMOUNT OF T.S.</t>
  </si>
  <si>
    <t>DETAILS OF A.S.</t>
  </si>
  <si>
    <t>AMOUNT OF A.S.</t>
  </si>
  <si>
    <t>NAME OF AGENCY</t>
  </si>
  <si>
    <t>DATE OF STARTING</t>
  </si>
  <si>
    <t>DATE OF COMPLETION</t>
  </si>
  <si>
    <t xml:space="preserve">ACTUAL EXPENDITURE INCURED </t>
  </si>
  <si>
    <t xml:space="preserve">FINAL MEASUREMENT RECORDED IN </t>
  </si>
  <si>
    <t>SHORT NOTED</t>
  </si>
  <si>
    <t xml:space="preserve"> </t>
  </si>
  <si>
    <t xml:space="preserve">અ.મ.ઇ શ્રી ની સહી </t>
  </si>
  <si>
    <t>Add.Ass.Engineer</t>
  </si>
  <si>
    <t xml:space="preserve">FIRST &amp; FINAL BILL </t>
  </si>
  <si>
    <t>MB NO -</t>
  </si>
  <si>
    <t>PAGE NO</t>
  </si>
  <si>
    <t xml:space="preserve">TO </t>
  </si>
  <si>
    <t>માપ નોંધ્યા તારીખ -</t>
  </si>
  <si>
    <t xml:space="preserve">તા. ઠાસરા </t>
  </si>
  <si>
    <t xml:space="preserve">સરપંચ શ્રી ગ્રામ પંચાયત </t>
  </si>
  <si>
    <t>Total</t>
  </si>
  <si>
    <t>WORK IS COMPLETED.</t>
  </si>
  <si>
    <t>યોજના:</t>
  </si>
  <si>
    <t>ADD 18% GST</t>
  </si>
  <si>
    <t xml:space="preserve">૧૫ મુ નાણાપંચ ગ્રામ્ય કક્ષા વર્ષ ૨૦૨૫-૨૬ પ્રથમ  હપ્તો </t>
  </si>
  <si>
    <t>04-05-2026.</t>
  </si>
  <si>
    <t xml:space="preserve">ભદ્રાસા તાબે નવાદાજીપુરામાં સી.સી. રસ્તાનું કામ. </t>
  </si>
  <si>
    <t>ભદ્રાસા</t>
  </si>
  <si>
    <t>તાલુકા પંચાયત કચેરી ઠાસરા ના હુકમ નંબર- જા. નં. વિકાસ/વશી/૧૭૯૧.  તા. ૨૩/૦૩/૨૦૨૬.</t>
  </si>
  <si>
    <t>1701,03-26.</t>
  </si>
  <si>
    <t>11-05-2026.</t>
  </si>
  <si>
    <r>
      <rPr>
        <b/>
        <sz val="12"/>
        <color indexed="53"/>
        <rFont val="Calibri"/>
        <family val="2"/>
      </rPr>
      <t>કામનું નામ :-</t>
    </r>
    <r>
      <rPr>
        <sz val="12"/>
        <color indexed="53"/>
        <rFont val="Calibri"/>
        <family val="2"/>
      </rPr>
      <t xml:space="preserve">  </t>
    </r>
  </si>
  <si>
    <r>
      <rPr>
        <b/>
        <sz val="12"/>
        <color indexed="53"/>
        <rFont val="Calibri"/>
        <family val="2"/>
      </rPr>
      <t>કોન્ટ્રાક્ટર અથવા છુટક કામ કરનારનું નામ તથા સરનામું</t>
    </r>
    <r>
      <rPr>
        <sz val="12"/>
        <color indexed="53"/>
        <rFont val="Calibri"/>
        <family val="2"/>
      </rPr>
      <t xml:space="preserve"> :- </t>
    </r>
  </si>
  <si>
    <t>પેટા વિભાગ :- ના.કા.ઇ.શ્રી, મા. અને મ. (પં.) પેટા વિભાગ,</t>
  </si>
  <si>
    <t xml:space="preserve">  ડાકોર.</t>
  </si>
  <si>
    <t xml:space="preserve">તાલુકા પંચાયત કચેરી </t>
  </si>
  <si>
    <t>જા. નં. વિકાસ/વશી/૧૭૯૧.  તા. ૨૩/૦૩/૨૦૨૬.</t>
  </si>
  <si>
    <t xml:space="preserve">ના હુકમ નંબર- </t>
  </si>
  <si>
    <t xml:space="preserve">શ્રી- વી.એ.ઠાકોર   </t>
  </si>
  <si>
    <t>અ.મ.ઇ એ માપ લીધા અને નીચે જણાવેલ માપપોથી નંબર તથા પાના નંબર ઉપર તે નોંધ્યા.</t>
  </si>
  <si>
    <t>ITEM NO 1 : Demolition including stacking of serviceable materilas and disposal of unserviceable materials with all lead and lift. (i) R.C.C. work</t>
  </si>
  <si>
    <t>Item No :- 2  Excatation for pipe line trenches incl. all safety provision using site rails &amp; stacking excavated stuff up to a lead of 90 M. cleaing the site etc. complete for lift &amp; strata as specified.(A) in all sorts of soil and soft murrum (a) Upto 1.5 mt. depth</t>
  </si>
  <si>
    <t>Item No :- 3   Providing &amp; supplying ISI standard R.C.C. pipe (or Sulphate Resistance cement) in standard length of following class &amp; diameter suitable for either collar joints or rubber ring joints  including  all taxes, insurance, transportation, freight charges, octroi, inspection charges,loading, unloading, conveyance to departmental stores, stacking etc. comp.    ( IS - 458 / 1989 ) for following dia.d) Class NP2 Test Pressure, 0.7 Kg/sq.cm</t>
  </si>
  <si>
    <t>Item No :- 4 Lowing laying &amp; joining R.C.C. pipes in C.M. 1:1 1/2 of follwing diameter in proper position garde aligment as directed by Engg. Incl. Conveyance from store to site of work labour giving hydraulic testing as per ISI code etc. comple incl.</t>
  </si>
  <si>
    <t>(1)  225 mm. Dia R.C.C. Pipe</t>
  </si>
  <si>
    <t>(2)  300 mm. Dia R.C.C. Pipe</t>
  </si>
  <si>
    <t>(3)  450 mm. Dia R.C.C. Pipe</t>
  </si>
  <si>
    <t>(4) 600 mm Dia R.C.C. Pipe</t>
  </si>
  <si>
    <t>(5) 900 mm Dia. R.C.C. Pipe</t>
  </si>
  <si>
    <t>(6) 1200 mm Dia. R.C.C. Pipe</t>
  </si>
  <si>
    <t>Rmt</t>
  </si>
  <si>
    <t>Item No:- 5 Constructing of  valve chambers in brick or bela stone masonary, locally available in C.M. 1:6. Foundation concrete 150 mm thick in C.C. 1:4:8 of trap metal size 25 mm to 40 mm thick, inside cement plater in C.M. 1:3 and cement pointing outside in C.M. 1:3 and top  cover of precast RCC slab 100 mm thick (with key hole in two parts, each with handles or MS Bar etc. comp.e as given size) Upto 1 Mt. depth from G.L. to pipe invert level incl. complete civil works but excluding cost of excavation and refilling. With cast in situ RCC slab in one single piece with fixing of CI - MH Frame and cover (excl. cost of CI -MH Frame &amp; cover) with 23 mm thick brick masonary wall in C.M. 1:6.</t>
  </si>
  <si>
    <t>Chamber size: 0.60 m x 0.60 m and 1.0 mt deep</t>
  </si>
  <si>
    <t>Chamber size: 0.90 m x 0.90 m and 1.0 mt deep</t>
  </si>
  <si>
    <t>Chamber size: 1.30 m x 0.90 m and 1.0 mt deep</t>
  </si>
  <si>
    <t>Chamber size: 1.30 m x 1.30 m and 1.0 mt deep</t>
  </si>
  <si>
    <t>Item No :- 6  Reflling the pipeline trencher incl. ramming watering comsolidating disposial of surplus stuff as directed withing radius of 3 K.M.</t>
  </si>
  <si>
    <t xml:space="preserve">Item No:- 7  R.C.C. precast M.H.Frame &amp; Cover Manufacture, supply &amp; Delivery at store or at site  of work precast R.C.C. M.200 Frame &amp; cover suitable to drainage M.H. and as per type design  &amp; Drawing including cost of reinforcement M.S.Angle or Flate, curring mold work etc.
(A) Heavy Duty  </t>
  </si>
  <si>
    <t xml:space="preserve">(1) Frame suitable for 50 cm opening of M.H. </t>
  </si>
  <si>
    <t xml:space="preserve">(2) Cover suitable for 50 cm opening of M.H. </t>
  </si>
  <si>
    <t>Item No. 8  Providing and laying cement concrete 1:2:4 (1- Cement : 2- Coarse sand : 4- graded  stone aggregates 20 mm nominal size) and curing complete excluding cost of formwork in (A) Foundation and Plinth</t>
  </si>
  <si>
    <t>Cmt</t>
  </si>
  <si>
    <t xml:space="preserve">Item No. 9  Providing and fixing Number plate of marble stone of requiered size set in C.M. 1:4  etc. comp.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</si>
</sst>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_);_(&quot;$&quot;* \(#,##0.00\);_(&quot;$&quot;* &quot;-&quot;??_);_(@_)"/>
  </numFmts>
  <fonts count="28">
    <font>
      <sz val="10"/>
      <name val="Arial"/>
    </font>
    <font>
      <sz val="10"/>
      <name val="Arial"/>
    </font>
    <font>
      <sz val="10"/>
      <name val="Arial"/>
      <family val="2"/>
    </font>
    <font>
      <b/>
      <sz val="12"/>
      <color indexed="53"/>
      <name val="Calibri"/>
      <family val="2"/>
    </font>
    <font>
      <sz val="12"/>
      <color indexed="53"/>
      <name val="Calibri"/>
      <family val="2"/>
    </font>
    <font>
      <sz val="16"/>
      <color theme="9"/>
      <name val="Calibri"/>
      <family val="2"/>
      <scheme val="minor"/>
    </font>
    <font>
      <sz val="10"/>
      <color theme="9"/>
      <name val="Arial"/>
      <family val="2"/>
    </font>
    <font>
      <sz val="11"/>
      <color theme="9"/>
      <name val="Arial"/>
      <family val="2"/>
    </font>
    <font>
      <sz val="14"/>
      <color theme="9"/>
      <name val="સૃતી"/>
    </font>
    <font>
      <sz val="14"/>
      <color theme="9"/>
      <name val="Calibri"/>
      <family val="2"/>
      <scheme val="minor"/>
    </font>
    <font>
      <b/>
      <sz val="24"/>
      <color theme="9"/>
      <name val="Calibri"/>
      <family val="2"/>
      <scheme val="minor"/>
    </font>
    <font>
      <b/>
      <sz val="12"/>
      <color theme="9"/>
      <name val="Calibri"/>
      <family val="2"/>
      <scheme val="minor"/>
    </font>
    <font>
      <sz val="12"/>
      <color theme="9"/>
      <name val="Calibri"/>
      <family val="2"/>
      <scheme val="minor"/>
    </font>
    <font>
      <sz val="12"/>
      <color theme="9"/>
      <name val="Calibri"/>
      <family val="2"/>
    </font>
    <font>
      <sz val="12"/>
      <color theme="9"/>
      <name val="સૃતી "/>
    </font>
    <font>
      <sz val="12"/>
      <color theme="9"/>
      <name val="SRUTI"/>
    </font>
    <font>
      <sz val="14"/>
      <color theme="8"/>
      <name val="સૃતી"/>
    </font>
    <font>
      <sz val="12"/>
      <color theme="8"/>
      <name val="SRUTI"/>
    </font>
    <font>
      <sz val="12"/>
      <color theme="8"/>
      <name val="Calibri"/>
      <family val="2"/>
    </font>
    <font>
      <sz val="12"/>
      <color theme="8"/>
      <name val="Calibri"/>
      <family val="2"/>
      <scheme val="minor"/>
    </font>
    <font>
      <sz val="12"/>
      <color theme="9"/>
      <name val="Arial"/>
      <family val="2"/>
    </font>
    <font>
      <b/>
      <sz val="12"/>
      <color theme="8"/>
      <name val="Calibri"/>
      <family val="2"/>
      <scheme val="minor"/>
    </font>
    <font>
      <u val="double"/>
      <sz val="14"/>
      <color theme="9"/>
      <name val="Calibri"/>
      <family val="2"/>
      <scheme val="minor"/>
    </font>
    <font>
      <sz val="13"/>
      <color theme="9"/>
      <name val="Calibri"/>
      <family val="2"/>
      <scheme val="minor"/>
    </font>
    <font>
      <sz val="13"/>
      <color theme="9"/>
      <name val="Arial"/>
      <family val="2"/>
    </font>
    <font>
      <sz val="14"/>
      <color theme="8"/>
      <name val="Calibri"/>
      <family val="2"/>
      <scheme val="minor"/>
    </font>
    <font>
      <sz val="11"/>
      <color theme="9"/>
      <name val="Times New Roman"/>
      <family val="1"/>
    </font>
    <font>
      <sz val="12"/>
      <color theme="8"/>
      <name val="Arial"/>
      <family val="2"/>
    </font>
  </fonts>
  <fills count="2">
    <fill>
      <patternFill patternType="none"/>
    </fill>
    <fill>
      <patternFill patternType="gray125"/>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0" fontId="2" fillId="0" borderId="0"/>
  </cellStyleXfs>
  <cellXfs count="127">
    <xf numFmtId="0" fontId="0" fillId="0" borderId="0" xfId="0"/>
    <xf numFmtId="0" fontId="6" fillId="0" borderId="0" xfId="0" applyFont="1" applyAlignment="1">
      <alignment horizontal="center"/>
    </xf>
    <xf numFmtId="0" fontId="7" fillId="0" borderId="2"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xf>
    <xf numFmtId="0" fontId="7" fillId="0" borderId="0" xfId="0" applyFont="1" applyAlignment="1">
      <alignment horizontal="center"/>
    </xf>
    <xf numFmtId="0" fontId="10" fillId="0" borderId="2" xfId="0" applyFont="1" applyBorder="1" applyAlignment="1">
      <alignment horizontal="center" vertical="center"/>
    </xf>
    <xf numFmtId="0" fontId="10" fillId="0" borderId="0" xfId="0" applyFont="1" applyAlignment="1">
      <alignment horizontal="center" vertical="center"/>
    </xf>
    <xf numFmtId="0" fontId="13" fillId="0" borderId="2" xfId="0" applyFont="1" applyBorder="1" applyAlignment="1">
      <alignment horizontal="center" vertical="center"/>
    </xf>
    <xf numFmtId="0" fontId="13" fillId="0" borderId="0" xfId="0" applyFont="1" applyAlignment="1">
      <alignment horizontal="center" vertical="center"/>
    </xf>
    <xf numFmtId="0" fontId="12" fillId="0" borderId="2" xfId="0" applyFont="1" applyBorder="1" applyAlignment="1">
      <alignment horizontal="center" vertical="center"/>
    </xf>
    <xf numFmtId="0" fontId="12" fillId="0" borderId="0" xfId="0" applyFont="1" applyAlignment="1">
      <alignment horizontal="center" vertical="center"/>
    </xf>
    <xf numFmtId="0" fontId="6" fillId="0" borderId="0" xfId="0" applyFont="1" applyAlignment="1">
      <alignment horizontal="center" vertical="center"/>
    </xf>
    <xf numFmtId="0" fontId="12" fillId="0" borderId="2" xfId="0" applyFont="1" applyBorder="1" applyAlignment="1">
      <alignment horizontal="center"/>
    </xf>
    <xf numFmtId="0" fontId="12" fillId="0" borderId="0" xfId="0" applyFont="1" applyAlignment="1">
      <alignment horizontal="center"/>
    </xf>
    <xf numFmtId="164" fontId="12" fillId="0" borderId="0" xfId="1" applyFont="1" applyBorder="1" applyAlignment="1" applyProtection="1">
      <alignment horizontal="center"/>
    </xf>
    <xf numFmtId="0" fontId="12" fillId="0" borderId="8" xfId="0" applyFont="1" applyBorder="1" applyAlignment="1">
      <alignment horizontal="center"/>
    </xf>
    <xf numFmtId="0" fontId="15" fillId="0" borderId="0" xfId="0" applyFont="1" applyAlignment="1">
      <alignment horizontal="center"/>
    </xf>
    <xf numFmtId="0" fontId="12" fillId="0" borderId="2" xfId="0" applyFont="1" applyBorder="1" applyAlignment="1">
      <alignment horizontal="center" vertical="top"/>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12" fillId="0" borderId="0" xfId="0" applyFont="1" applyAlignment="1">
      <alignment vertical="center"/>
    </xf>
    <xf numFmtId="0" fontId="15" fillId="0" borderId="0" xfId="0" applyFont="1" applyAlignment="1">
      <alignment vertical="center" wrapText="1"/>
    </xf>
    <xf numFmtId="0" fontId="17" fillId="0" borderId="0" xfId="0" applyFont="1" applyAlignment="1" applyProtection="1">
      <alignment vertical="center" wrapText="1"/>
      <protection locked="0"/>
    </xf>
    <xf numFmtId="0" fontId="18" fillId="0" borderId="8"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9" fillId="0" borderId="0" xfId="0" applyFont="1" applyAlignment="1" applyProtection="1">
      <alignment vertical="center"/>
      <protection locked="0"/>
    </xf>
    <xf numFmtId="0" fontId="20" fillId="0" borderId="0" xfId="0" applyFont="1"/>
    <xf numFmtId="0" fontId="20" fillId="0" borderId="15" xfId="2" applyFont="1" applyBorder="1" applyAlignment="1">
      <alignment vertical="top" wrapText="1"/>
    </xf>
    <xf numFmtId="2" fontId="20" fillId="0" borderId="1" xfId="2" applyNumberFormat="1" applyFont="1" applyBorder="1" applyAlignment="1">
      <alignment horizontal="center" vertical="center"/>
    </xf>
    <xf numFmtId="0" fontId="12" fillId="0" borderId="1" xfId="0" applyFont="1" applyBorder="1" applyAlignment="1">
      <alignment horizontal="center" vertical="center"/>
    </xf>
    <xf numFmtId="0" fontId="12" fillId="0" borderId="13" xfId="0" applyFont="1" applyBorder="1" applyAlignment="1">
      <alignment horizontal="center" vertical="center"/>
    </xf>
    <xf numFmtId="2" fontId="20" fillId="0" borderId="0" xfId="0" applyNumberFormat="1" applyFont="1"/>
    <xf numFmtId="0" fontId="12" fillId="0" borderId="16" xfId="0" applyFont="1" applyBorder="1" applyAlignment="1">
      <alignment horizontal="right"/>
    </xf>
    <xf numFmtId="0" fontId="12" fillId="0" borderId="17" xfId="0" applyFont="1" applyBorder="1"/>
    <xf numFmtId="0" fontId="12" fillId="0" borderId="18" xfId="0" applyFont="1" applyBorder="1"/>
    <xf numFmtId="0" fontId="12" fillId="0" borderId="17" xfId="0" applyFont="1" applyBorder="1" applyAlignment="1">
      <alignment horizontal="center"/>
    </xf>
    <xf numFmtId="0" fontId="12" fillId="0" borderId="17" xfId="0" applyFont="1" applyBorder="1" applyAlignment="1">
      <alignment horizontal="right"/>
    </xf>
    <xf numFmtId="0" fontId="12" fillId="0" borderId="19" xfId="0" applyFont="1" applyBorder="1"/>
    <xf numFmtId="2" fontId="12" fillId="0" borderId="0" xfId="0" applyNumberFormat="1" applyFont="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xf>
    <xf numFmtId="0" fontId="12" fillId="0" borderId="23" xfId="0" applyFont="1" applyBorder="1" applyAlignment="1">
      <alignment horizontal="center" vertical="center"/>
    </xf>
    <xf numFmtId="0" fontId="12" fillId="0" borderId="0" xfId="0" applyFont="1"/>
    <xf numFmtId="2" fontId="19" fillId="0" borderId="1" xfId="0" applyNumberFormat="1" applyFont="1" applyBorder="1" applyAlignment="1" applyProtection="1">
      <alignment horizontal="center" vertical="center"/>
      <protection locked="0"/>
    </xf>
    <xf numFmtId="0" fontId="17" fillId="0" borderId="16" xfId="0" applyFont="1" applyBorder="1" applyAlignment="1" applyProtection="1">
      <alignment horizontal="center" vertical="center" wrapText="1"/>
      <protection locked="0"/>
    </xf>
    <xf numFmtId="0" fontId="19" fillId="0" borderId="17" xfId="0" applyFont="1" applyBorder="1" applyAlignment="1" applyProtection="1">
      <alignment horizontal="center"/>
      <protection locked="0"/>
    </xf>
    <xf numFmtId="0" fontId="6" fillId="0" borderId="0" xfId="0" applyFont="1"/>
    <xf numFmtId="0" fontId="23" fillId="0" borderId="1" xfId="0" applyFont="1" applyBorder="1" applyAlignment="1">
      <alignment vertical="center"/>
    </xf>
    <xf numFmtId="0" fontId="24" fillId="0" borderId="0" xfId="0" applyFont="1" applyAlignment="1">
      <alignment vertical="center"/>
    </xf>
    <xf numFmtId="0" fontId="12" fillId="0" borderId="1" xfId="0" applyFont="1" applyBorder="1"/>
    <xf numFmtId="0" fontId="12" fillId="0" borderId="1" xfId="0" applyFont="1" applyBorder="1" applyAlignment="1">
      <alignment vertical="center"/>
    </xf>
    <xf numFmtId="0" fontId="12" fillId="0" borderId="1" xfId="0" applyFont="1" applyBorder="1" applyAlignment="1">
      <alignment horizontal="left" vertical="center"/>
    </xf>
    <xf numFmtId="0" fontId="6" fillId="0" borderId="0" xfId="0" applyFont="1" applyAlignment="1">
      <alignment vertical="center"/>
    </xf>
    <xf numFmtId="0" fontId="12" fillId="0" borderId="27" xfId="0" applyFont="1" applyBorder="1"/>
    <xf numFmtId="0" fontId="12" fillId="0" borderId="1" xfId="0" applyFont="1" applyBorder="1" applyAlignment="1">
      <alignment wrapText="1"/>
    </xf>
    <xf numFmtId="0" fontId="9" fillId="0" borderId="1" xfId="0" applyFont="1" applyBorder="1" applyAlignment="1">
      <alignment vertical="center"/>
    </xf>
    <xf numFmtId="0" fontId="9" fillId="0" borderId="1" xfId="0" applyFont="1" applyBorder="1"/>
    <xf numFmtId="14" fontId="9" fillId="0" borderId="1" xfId="0" applyNumberFormat="1" applyFont="1" applyBorder="1" applyAlignment="1">
      <alignment horizontal="center" vertical="center"/>
    </xf>
    <xf numFmtId="0" fontId="12" fillId="0" borderId="28" xfId="0" applyFont="1" applyBorder="1"/>
    <xf numFmtId="0" fontId="12" fillId="0" borderId="3" xfId="0" applyFont="1" applyBorder="1"/>
    <xf numFmtId="0" fontId="12" fillId="0" borderId="29" xfId="0" applyFont="1" applyBorder="1"/>
    <xf numFmtId="0" fontId="12" fillId="0" borderId="30" xfId="0" applyFont="1" applyBorder="1"/>
    <xf numFmtId="0" fontId="12" fillId="0" borderId="31" xfId="0" applyFont="1" applyBorder="1"/>
    <xf numFmtId="0" fontId="12" fillId="0" borderId="5" xfId="0" applyFont="1" applyBorder="1"/>
    <xf numFmtId="0" fontId="12" fillId="0" borderId="32" xfId="0" applyFont="1" applyBorder="1"/>
    <xf numFmtId="0" fontId="25" fillId="0" borderId="1" xfId="0" applyFont="1" applyBorder="1" applyAlignment="1" applyProtection="1">
      <alignment horizontal="center" vertical="center"/>
      <protection locked="0"/>
    </xf>
    <xf numFmtId="0" fontId="7" fillId="0" borderId="1" xfId="0" applyFont="1" applyBorder="1" applyAlignment="1">
      <alignment horizontal="left" vertical="top" wrapText="1"/>
    </xf>
    <xf numFmtId="0" fontId="7" fillId="0" borderId="1" xfId="0" applyFont="1" applyBorder="1" applyAlignment="1">
      <alignment horizontal="left"/>
    </xf>
    <xf numFmtId="2" fontId="7" fillId="0" borderId="1" xfId="0" applyNumberFormat="1" applyFont="1" applyBorder="1" applyAlignment="1">
      <alignment horizontal="center" wrapText="1"/>
    </xf>
    <xf numFmtId="0" fontId="7" fillId="0" borderId="1" xfId="0" applyFont="1" applyBorder="1" applyAlignment="1">
      <alignment horizontal="center" wrapText="1"/>
    </xf>
    <xf numFmtId="0" fontId="6" fillId="0" borderId="1" xfId="0" applyFont="1" applyBorder="1" applyAlignment="1">
      <alignment horizontal="left" vertical="top" wrapText="1"/>
    </xf>
    <xf numFmtId="0" fontId="26" fillId="0" borderId="1" xfId="0" applyFont="1" applyBorder="1" applyAlignment="1">
      <alignment horizontal="left" vertical="top" wrapText="1"/>
    </xf>
    <xf numFmtId="2" fontId="6" fillId="0" borderId="1" xfId="0" applyNumberFormat="1" applyFont="1" applyBorder="1" applyAlignment="1">
      <alignment horizontal="center" wrapText="1"/>
    </xf>
    <xf numFmtId="0" fontId="20" fillId="0" borderId="1" xfId="0" applyFont="1" applyBorder="1" applyAlignment="1">
      <alignment horizontal="left" vertical="top" wrapText="1"/>
    </xf>
    <xf numFmtId="0" fontId="20" fillId="0" borderId="1" xfId="0" applyFont="1" applyBorder="1" applyAlignment="1">
      <alignment horizontal="center" vertical="top" wrapText="1"/>
    </xf>
    <xf numFmtId="0" fontId="27" fillId="0" borderId="1" xfId="0" applyFont="1" applyBorder="1" applyAlignment="1">
      <alignment horizontal="center"/>
    </xf>
    <xf numFmtId="0" fontId="20" fillId="0" borderId="0" xfId="0" applyFont="1" applyAlignment="1">
      <alignment horizontal="center"/>
    </xf>
    <xf numFmtId="0" fontId="16" fillId="0" borderId="3"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14" fillId="0" borderId="0" xfId="0" applyFont="1" applyAlignment="1">
      <alignment horizontal="center" vertical="center"/>
    </xf>
    <xf numFmtId="0" fontId="5" fillId="0" borderId="1" xfId="0" applyFont="1" applyBorder="1" applyAlignment="1">
      <alignment horizontal="center" vertical="center"/>
    </xf>
    <xf numFmtId="0" fontId="12" fillId="0" borderId="2"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0" fontId="9" fillId="0" borderId="1" xfId="0" applyFont="1" applyBorder="1" applyAlignment="1">
      <alignment horizont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2" fillId="0" borderId="8" xfId="0" applyFont="1" applyBorder="1" applyAlignment="1">
      <alignment horizontal="center"/>
    </xf>
    <xf numFmtId="0" fontId="15" fillId="0" borderId="0" xfId="0" applyFont="1" applyAlignment="1">
      <alignment horizontal="center" vertical="center" wrapText="1"/>
    </xf>
    <xf numFmtId="0" fontId="17" fillId="0" borderId="0" xfId="0" applyFont="1" applyAlignment="1" applyProtection="1">
      <alignment horizontal="center" vertical="center" wrapText="1"/>
      <protection locked="0"/>
    </xf>
    <xf numFmtId="0" fontId="17"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2" fillId="0" borderId="0" xfId="0" applyFont="1" applyAlignment="1">
      <alignment horizontal="center" vertical="center" wrapText="1"/>
    </xf>
    <xf numFmtId="0" fontId="12" fillId="0" borderId="22" xfId="0" applyFont="1" applyBorder="1" applyAlignment="1">
      <alignment horizontal="center" vertical="center" wrapText="1"/>
    </xf>
    <xf numFmtId="0" fontId="12" fillId="0" borderId="16" xfId="0" applyFont="1" applyBorder="1" applyAlignment="1">
      <alignment horizontal="right"/>
    </xf>
    <xf numFmtId="0" fontId="12" fillId="0" borderId="17" xfId="0" applyFont="1" applyBorder="1" applyAlignment="1">
      <alignment horizontal="right"/>
    </xf>
    <xf numFmtId="0" fontId="12" fillId="0" borderId="7" xfId="0" applyFont="1" applyBorder="1" applyAlignment="1">
      <alignment horizontal="right"/>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21" fillId="0" borderId="24"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9" fillId="0" borderId="26" xfId="0" applyFont="1" applyBorder="1" applyAlignment="1" applyProtection="1">
      <alignment horizontal="center" vertical="center" wrapText="1"/>
      <protection locked="0"/>
    </xf>
    <xf numFmtId="0" fontId="12" fillId="0" borderId="12"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12" fillId="0" borderId="30" xfId="0" applyFont="1" applyBorder="1" applyAlignment="1">
      <alignment horizontal="center"/>
    </xf>
    <xf numFmtId="0" fontId="16" fillId="0" borderId="1" xfId="0" applyFont="1" applyBorder="1" applyAlignment="1" applyProtection="1">
      <alignment horizontal="left" vertical="center"/>
      <protection locked="0"/>
    </xf>
    <xf numFmtId="0" fontId="8" fillId="0" borderId="1" xfId="0" applyFont="1" applyBorder="1" applyAlignment="1">
      <alignment horizontal="center" vertical="center"/>
    </xf>
    <xf numFmtId="0" fontId="19" fillId="0" borderId="30" xfId="0" applyFont="1" applyBorder="1" applyAlignment="1" applyProtection="1">
      <alignment horizontal="center"/>
      <protection locked="0"/>
    </xf>
    <xf numFmtId="0" fontId="19" fillId="0" borderId="0" xfId="0" applyFont="1" applyAlignment="1" applyProtection="1">
      <alignment horizontal="center"/>
      <protection locked="0"/>
    </xf>
    <xf numFmtId="0" fontId="16" fillId="0" borderId="1" xfId="0" applyFont="1" applyBorder="1" applyAlignment="1" applyProtection="1">
      <alignment vertical="center"/>
      <protection locked="0"/>
    </xf>
    <xf numFmtId="2" fontId="16" fillId="0" borderId="1" xfId="0" applyNumberFormat="1" applyFont="1" applyBorder="1" applyAlignment="1" applyProtection="1">
      <alignment horizontal="left" vertical="center"/>
      <protection locked="0"/>
    </xf>
    <xf numFmtId="0" fontId="9" fillId="0" borderId="1" xfId="0" applyFont="1" applyBorder="1" applyAlignment="1">
      <alignment horizontal="left" vertical="center"/>
    </xf>
    <xf numFmtId="0" fontId="16" fillId="0" borderId="6" xfId="0" applyFont="1" applyBorder="1" applyAlignment="1" applyProtection="1">
      <alignment horizontal="left" vertical="center"/>
      <protection locked="0"/>
    </xf>
    <xf numFmtId="0" fontId="16" fillId="0" borderId="17" xfId="0" applyFont="1" applyBorder="1" applyAlignment="1" applyProtection="1">
      <alignment horizontal="left" vertical="center"/>
      <protection locked="0"/>
    </xf>
    <xf numFmtId="0" fontId="16" fillId="0" borderId="7" xfId="0" applyFont="1" applyBorder="1" applyAlignment="1" applyProtection="1">
      <alignment horizontal="left" vertical="center"/>
      <protection locked="0"/>
    </xf>
    <xf numFmtId="0" fontId="22" fillId="0" borderId="1" xfId="0" applyFont="1" applyBorder="1" applyAlignment="1">
      <alignment horizontal="center" vertical="center"/>
    </xf>
    <xf numFmtId="0" fontId="16" fillId="0" borderId="6" xfId="0" applyFont="1" applyBorder="1" applyAlignment="1" applyProtection="1">
      <alignment horizontal="left" vertical="center" wrapText="1"/>
      <protection locked="0"/>
    </xf>
    <xf numFmtId="0" fontId="16" fillId="0" borderId="17" xfId="0" applyFont="1" applyBorder="1" applyAlignment="1" applyProtection="1">
      <alignment horizontal="left" vertical="center" wrapText="1"/>
      <protection locked="0"/>
    </xf>
    <xf numFmtId="0" fontId="16" fillId="0" borderId="7" xfId="0" applyFont="1" applyBorder="1" applyAlignment="1" applyProtection="1">
      <alignment horizontal="left" vertical="center" wrapText="1"/>
      <protection locked="0"/>
    </xf>
    <xf numFmtId="0" fontId="7" fillId="0" borderId="0" xfId="0" applyFont="1" applyAlignment="1">
      <alignment horizontal="left" vertical="center" wrapText="1"/>
    </xf>
  </cellXfs>
  <cellStyles count="3">
    <cellStyle name="Currency" xfId="1" builtinId="4"/>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5</xdr:col>
      <xdr:colOff>278130</xdr:colOff>
      <xdr:row>4</xdr:row>
      <xdr:rowOff>87630</xdr:rowOff>
    </xdr:from>
    <xdr:to>
      <xdr:col>6</xdr:col>
      <xdr:colOff>344880</xdr:colOff>
      <xdr:row>4</xdr:row>
      <xdr:rowOff>621030</xdr:rowOff>
    </xdr:to>
    <xdr:sp macro="" textlink="">
      <xdr:nvSpPr>
        <xdr:cNvPr id="2" name="TextBox 1">
          <a:extLst>
            <a:ext uri="{FF2B5EF4-FFF2-40B4-BE49-F238E27FC236}">
              <a16:creationId xmlns:a16="http://schemas.microsoft.com/office/drawing/2014/main" xmlns="" id="{7D88E495-1476-22FC-00AC-DE83E58B3F9A}"/>
            </a:ext>
          </a:extLst>
        </xdr:cNvPr>
        <xdr:cNvSpPr txBox="1"/>
      </xdr:nvSpPr>
      <xdr:spPr>
        <a:xfrm>
          <a:off x="3333750" y="1533525"/>
          <a:ext cx="8763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3600" b="1"/>
            <a:t>21</a:t>
          </a:r>
          <a:endParaRPr lang="en-US" sz="11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nts%20and%20Settings\Rushi\Desktop\Khokhar\Modasa%20B%20V%20Shah\Slab%20Drain\ESTRWB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36"/>
  <sheetViews>
    <sheetView view="pageBreakPreview" zoomScale="98" zoomScaleNormal="100" zoomScaleSheetLayoutView="98" workbookViewId="0">
      <selection activeCell="G9" sqref="G9"/>
    </sheetView>
  </sheetViews>
  <sheetFormatPr defaultColWidth="9.109375" defaultRowHeight="13.2"/>
  <cols>
    <col min="1" max="5" width="9.109375" style="1"/>
    <col min="6" max="6" width="12.33203125" style="1" customWidth="1"/>
    <col min="7" max="7" width="9.109375" style="1"/>
    <col min="8" max="8" width="9.109375" style="1" customWidth="1"/>
    <col min="9" max="9" width="23.88671875" style="1" customWidth="1"/>
    <col min="10" max="10" width="20.88671875" style="1" customWidth="1"/>
    <col min="11" max="16384" width="9.109375" style="1"/>
  </cols>
  <sheetData>
    <row r="1" spans="1:17" ht="31.5" customHeight="1">
      <c r="A1" s="84" t="s">
        <v>59</v>
      </c>
      <c r="B1" s="84"/>
      <c r="C1" s="84"/>
      <c r="D1" s="84"/>
      <c r="E1" s="84"/>
      <c r="F1" s="84"/>
      <c r="G1" s="84"/>
      <c r="H1" s="84"/>
      <c r="I1" s="84"/>
      <c r="J1" s="84"/>
    </row>
    <row r="2" spans="1:17" s="3" customFormat="1" ht="19.5" customHeight="1">
      <c r="A2" s="2"/>
      <c r="G2" s="81" t="s">
        <v>68</v>
      </c>
      <c r="H2" s="79" t="s">
        <v>70</v>
      </c>
      <c r="I2" s="79"/>
      <c r="J2" s="79"/>
    </row>
    <row r="3" spans="1:17" s="5" customFormat="1" ht="19.5" customHeight="1">
      <c r="A3" s="4" t="s">
        <v>1</v>
      </c>
      <c r="B3" s="4"/>
      <c r="C3" s="4"/>
      <c r="G3" s="82"/>
      <c r="H3" s="80"/>
      <c r="I3" s="80"/>
      <c r="J3" s="80"/>
    </row>
    <row r="4" spans="1:17" ht="23.25" customHeight="1">
      <c r="A4" s="88" t="s">
        <v>2</v>
      </c>
      <c r="B4" s="88"/>
      <c r="C4" s="88"/>
      <c r="D4" s="88"/>
      <c r="E4" s="88"/>
      <c r="F4" s="88"/>
      <c r="G4" s="88"/>
      <c r="H4" s="88"/>
      <c r="I4" s="88"/>
      <c r="J4" s="88"/>
    </row>
    <row r="5" spans="1:17" ht="57.75" customHeight="1">
      <c r="A5" s="6"/>
      <c r="B5" s="7"/>
      <c r="C5" s="7"/>
      <c r="D5" s="7"/>
      <c r="E5" s="7"/>
      <c r="F5" s="7"/>
      <c r="G5" s="7"/>
      <c r="H5" s="7"/>
      <c r="I5" s="89" t="s">
        <v>3</v>
      </c>
      <c r="J5" s="90"/>
    </row>
    <row r="6" spans="1:17" ht="24" customHeight="1">
      <c r="A6" s="22" t="s">
        <v>79</v>
      </c>
      <c r="B6" s="22"/>
      <c r="C6" s="22"/>
      <c r="D6" s="22"/>
      <c r="E6" s="22"/>
      <c r="F6" s="22"/>
      <c r="G6" s="27" t="s">
        <v>80</v>
      </c>
      <c r="H6" s="22"/>
      <c r="I6" s="87"/>
      <c r="J6" s="91"/>
    </row>
    <row r="7" spans="1:17" ht="37.5" customHeight="1">
      <c r="A7" s="85" t="s">
        <v>77</v>
      </c>
      <c r="B7" s="86"/>
      <c r="C7" s="95" t="s">
        <v>72</v>
      </c>
      <c r="D7" s="95"/>
      <c r="E7" s="95"/>
      <c r="F7" s="95"/>
      <c r="G7" s="95"/>
      <c r="H7" s="95"/>
      <c r="I7" s="95"/>
      <c r="J7" s="26" t="s">
        <v>64</v>
      </c>
      <c r="Q7" s="1">
        <v>12</v>
      </c>
    </row>
    <row r="8" spans="1:17" ht="25.5" customHeight="1">
      <c r="A8" s="8" t="s">
        <v>78</v>
      </c>
      <c r="B8" s="9"/>
      <c r="C8" s="9"/>
      <c r="D8" s="9"/>
      <c r="E8" s="9"/>
      <c r="F8" s="9"/>
      <c r="G8" s="83" t="s">
        <v>65</v>
      </c>
      <c r="H8" s="83"/>
      <c r="I8" s="83"/>
      <c r="J8" s="25" t="s">
        <v>73</v>
      </c>
      <c r="Q8" s="1">
        <v>20</v>
      </c>
    </row>
    <row r="9" spans="1:17" s="12" customFormat="1" ht="32.25" customHeight="1">
      <c r="A9" s="10"/>
      <c r="B9" s="11"/>
      <c r="C9" s="11"/>
      <c r="D9" s="11"/>
      <c r="E9" s="92" t="s">
        <v>81</v>
      </c>
      <c r="F9" s="92"/>
      <c r="G9" s="24" t="str">
        <f>J7</f>
        <v xml:space="preserve">તા. ઠાસરા </v>
      </c>
      <c r="H9" s="23" t="s">
        <v>83</v>
      </c>
      <c r="I9" s="93" t="s">
        <v>82</v>
      </c>
      <c r="J9" s="94"/>
      <c r="Q9" s="12">
        <v>8</v>
      </c>
    </row>
    <row r="10" spans="1:17" ht="20.25" customHeight="1">
      <c r="A10" s="13" t="s">
        <v>4</v>
      </c>
      <c r="B10" s="14"/>
      <c r="C10" s="14"/>
      <c r="D10" s="14"/>
      <c r="E10" s="14"/>
      <c r="F10" s="15"/>
      <c r="G10" s="14" t="s">
        <v>5</v>
      </c>
      <c r="H10" s="14"/>
      <c r="I10" s="14"/>
      <c r="J10" s="16"/>
      <c r="Q10" s="1">
        <v>26</v>
      </c>
    </row>
    <row r="11" spans="1:17" ht="20.25" customHeight="1">
      <c r="A11" s="13"/>
      <c r="B11" s="14"/>
      <c r="C11" s="14"/>
      <c r="D11" s="14"/>
      <c r="E11" s="14"/>
      <c r="F11" s="14"/>
      <c r="G11" s="14" t="s">
        <v>6</v>
      </c>
      <c r="H11" s="14"/>
      <c r="I11" s="17"/>
      <c r="J11" s="16"/>
      <c r="Q11" s="1">
        <v>12</v>
      </c>
    </row>
    <row r="12" spans="1:17" ht="20.25" customHeight="1">
      <c r="A12" s="13"/>
      <c r="B12" s="14"/>
      <c r="C12" s="14"/>
      <c r="D12" s="14"/>
      <c r="E12" s="14"/>
      <c r="F12" s="14"/>
      <c r="G12" s="14"/>
      <c r="H12" s="14"/>
      <c r="I12" s="14"/>
      <c r="J12" s="16"/>
    </row>
    <row r="13" spans="1:17" ht="20.25" customHeight="1">
      <c r="A13" s="13"/>
      <c r="B13" s="14"/>
      <c r="C13" s="14"/>
      <c r="D13" s="14"/>
      <c r="E13" s="14"/>
      <c r="F13" s="14"/>
      <c r="G13" s="14"/>
      <c r="H13" s="14"/>
      <c r="I13" s="14"/>
      <c r="J13" s="16"/>
    </row>
    <row r="14" spans="1:17" ht="20.25" customHeight="1">
      <c r="A14" s="13" t="s">
        <v>7</v>
      </c>
      <c r="B14" s="14"/>
      <c r="C14" s="14"/>
      <c r="D14" s="14"/>
      <c r="E14" s="14"/>
      <c r="F14" s="14"/>
      <c r="G14" s="14" t="s">
        <v>7</v>
      </c>
      <c r="H14" s="14"/>
      <c r="I14" s="14"/>
      <c r="J14" s="16"/>
    </row>
    <row r="15" spans="1:17" ht="20.25" customHeight="1">
      <c r="A15" s="13" t="s">
        <v>8</v>
      </c>
      <c r="B15" s="14"/>
      <c r="C15" s="14"/>
      <c r="D15" s="14"/>
      <c r="E15" s="14"/>
      <c r="F15" s="14"/>
      <c r="G15" s="87" t="s">
        <v>8</v>
      </c>
      <c r="H15" s="87"/>
      <c r="I15" s="14"/>
      <c r="J15" s="16"/>
    </row>
    <row r="16" spans="1:17" ht="20.25" customHeight="1">
      <c r="A16" s="13"/>
      <c r="B16" s="14"/>
      <c r="C16" s="14"/>
      <c r="D16" s="14"/>
      <c r="E16" s="14"/>
      <c r="F16" s="14"/>
      <c r="G16" s="14"/>
      <c r="H16" s="14"/>
      <c r="I16" s="14"/>
      <c r="J16" s="16"/>
    </row>
    <row r="17" spans="1:15" ht="20.25" customHeight="1">
      <c r="A17" s="13" t="s">
        <v>9</v>
      </c>
      <c r="B17" s="14"/>
      <c r="C17" s="14"/>
      <c r="D17" s="14"/>
      <c r="E17" s="14"/>
      <c r="F17" s="14"/>
      <c r="G17" s="14" t="s">
        <v>9</v>
      </c>
      <c r="H17" s="14"/>
      <c r="I17" s="14"/>
      <c r="J17" s="16"/>
    </row>
    <row r="18" spans="1:15" ht="20.25" customHeight="1">
      <c r="A18" s="13"/>
      <c r="B18" s="14"/>
      <c r="C18" s="14"/>
      <c r="D18" s="14"/>
      <c r="E18" s="14"/>
      <c r="F18" s="14"/>
      <c r="G18" s="14"/>
      <c r="H18" s="14"/>
      <c r="I18" s="14"/>
      <c r="J18" s="16"/>
    </row>
    <row r="19" spans="1:15" ht="20.25" customHeight="1">
      <c r="A19" s="13"/>
      <c r="B19" s="14"/>
      <c r="C19" s="14"/>
      <c r="D19" s="14"/>
      <c r="E19" s="14"/>
      <c r="F19" s="14"/>
      <c r="G19" s="14"/>
      <c r="H19" s="14"/>
      <c r="I19" s="14"/>
      <c r="J19" s="16"/>
    </row>
    <row r="20" spans="1:15" ht="20.25" customHeight="1">
      <c r="A20" s="13" t="s">
        <v>10</v>
      </c>
      <c r="B20" s="14"/>
      <c r="C20" s="14"/>
      <c r="D20" s="14"/>
      <c r="E20" s="14"/>
      <c r="F20" s="14"/>
      <c r="G20" s="14" t="s">
        <v>11</v>
      </c>
      <c r="H20" s="14"/>
      <c r="I20" s="14"/>
      <c r="J20" s="16"/>
      <c r="O20" s="1" t="s">
        <v>56</v>
      </c>
    </row>
    <row r="21" spans="1:15" ht="20.25" customHeight="1">
      <c r="A21" s="13" t="s">
        <v>12</v>
      </c>
      <c r="B21" s="14"/>
      <c r="C21" s="14"/>
      <c r="D21" s="14"/>
      <c r="E21" s="14"/>
      <c r="F21" s="14"/>
      <c r="G21" s="14" t="s">
        <v>13</v>
      </c>
      <c r="H21" s="14"/>
      <c r="I21" s="14"/>
      <c r="J21" s="16"/>
    </row>
    <row r="22" spans="1:15" ht="20.25" customHeight="1">
      <c r="A22" s="13" t="s">
        <v>14</v>
      </c>
      <c r="B22" s="14"/>
      <c r="C22" s="14"/>
      <c r="D22" s="14"/>
      <c r="E22" s="14"/>
      <c r="F22" s="14"/>
      <c r="G22" s="14"/>
      <c r="H22" s="14"/>
      <c r="I22" s="14"/>
      <c r="J22" s="16"/>
    </row>
    <row r="23" spans="1:15" ht="20.25" customHeight="1">
      <c r="A23" s="18" t="s">
        <v>15</v>
      </c>
      <c r="B23" s="14"/>
      <c r="C23" s="14"/>
      <c r="D23" s="14"/>
      <c r="E23" s="14"/>
      <c r="F23" s="14"/>
      <c r="G23" s="14" t="s">
        <v>16</v>
      </c>
      <c r="H23" s="14"/>
      <c r="I23" s="14"/>
      <c r="J23" s="16"/>
    </row>
    <row r="24" spans="1:15" ht="20.25" customHeight="1">
      <c r="A24" s="13" t="s">
        <v>17</v>
      </c>
      <c r="B24" s="14"/>
      <c r="C24" s="14"/>
      <c r="D24" s="14"/>
      <c r="E24" s="14"/>
      <c r="F24" s="14"/>
      <c r="G24" s="14"/>
      <c r="H24" s="14"/>
      <c r="I24" s="14"/>
      <c r="J24" s="16"/>
    </row>
    <row r="25" spans="1:15" ht="20.25" customHeight="1">
      <c r="A25" s="13"/>
      <c r="B25" s="14"/>
      <c r="C25" s="14"/>
      <c r="D25" s="14"/>
      <c r="E25" s="14"/>
      <c r="F25" s="14"/>
      <c r="G25" s="14" t="s">
        <v>18</v>
      </c>
      <c r="H25" s="14"/>
      <c r="I25" s="14"/>
      <c r="J25" s="16"/>
    </row>
    <row r="26" spans="1:15" ht="20.25" customHeight="1">
      <c r="A26" s="13" t="s">
        <v>19</v>
      </c>
      <c r="B26" s="14"/>
      <c r="C26" s="14"/>
      <c r="D26" s="14"/>
      <c r="E26" s="14"/>
      <c r="F26" s="14"/>
      <c r="G26" s="14" t="s">
        <v>20</v>
      </c>
      <c r="H26" s="14"/>
      <c r="I26" s="14"/>
      <c r="J26" s="16"/>
    </row>
    <row r="27" spans="1:15" ht="20.25" customHeight="1">
      <c r="A27" s="13" t="s">
        <v>21</v>
      </c>
      <c r="B27" s="14"/>
      <c r="C27" s="14"/>
      <c r="D27" s="14"/>
      <c r="E27" s="14"/>
      <c r="F27" s="14"/>
      <c r="G27" s="14"/>
      <c r="H27" s="14"/>
      <c r="I27" s="14"/>
      <c r="J27" s="16"/>
    </row>
    <row r="28" spans="1:15" ht="20.25" customHeight="1">
      <c r="A28" s="13"/>
      <c r="B28" s="14"/>
      <c r="C28" s="14"/>
      <c r="D28" s="14"/>
      <c r="E28" s="14"/>
      <c r="F28" s="14"/>
      <c r="G28" s="14"/>
      <c r="H28" s="14"/>
      <c r="I28" s="14"/>
      <c r="J28" s="16"/>
    </row>
    <row r="29" spans="1:15" ht="20.25" customHeight="1">
      <c r="A29" s="13" t="s">
        <v>22</v>
      </c>
      <c r="B29" s="14"/>
      <c r="C29" s="14"/>
      <c r="D29" s="14"/>
      <c r="E29" s="14"/>
      <c r="F29" s="14"/>
      <c r="G29" s="14" t="s">
        <v>23</v>
      </c>
      <c r="H29" s="14"/>
      <c r="I29" s="14"/>
      <c r="J29" s="16"/>
    </row>
    <row r="30" spans="1:15" ht="20.25" customHeight="1">
      <c r="A30" s="13" t="s">
        <v>24</v>
      </c>
      <c r="B30" s="14"/>
      <c r="C30" s="14"/>
      <c r="D30" s="14"/>
      <c r="E30" s="14"/>
      <c r="F30" s="14"/>
      <c r="G30" s="14" t="s">
        <v>24</v>
      </c>
      <c r="H30" s="14"/>
      <c r="I30" s="14"/>
      <c r="J30" s="16"/>
    </row>
    <row r="31" spans="1:15" ht="20.25" customHeight="1">
      <c r="A31" s="13" t="s">
        <v>25</v>
      </c>
      <c r="B31" s="14"/>
      <c r="C31" s="14"/>
      <c r="D31" s="14"/>
      <c r="E31" s="14"/>
      <c r="F31" s="14"/>
      <c r="G31" s="14"/>
      <c r="H31" s="14"/>
      <c r="I31" s="14"/>
      <c r="J31" s="16"/>
    </row>
    <row r="32" spans="1:15" ht="20.25" customHeight="1">
      <c r="A32" s="13" t="s">
        <v>26</v>
      </c>
      <c r="B32" s="14"/>
      <c r="C32" s="14"/>
      <c r="D32" s="14"/>
      <c r="E32" s="14"/>
      <c r="F32" s="14"/>
      <c r="G32" s="14" t="s">
        <v>27</v>
      </c>
      <c r="H32" s="14"/>
      <c r="I32" s="14"/>
      <c r="J32" s="16"/>
    </row>
    <row r="33" spans="1:10" ht="20.25" customHeight="1">
      <c r="A33" s="13"/>
      <c r="B33" s="14"/>
      <c r="C33" s="14"/>
      <c r="D33" s="14"/>
      <c r="E33" s="14"/>
      <c r="F33" s="14"/>
      <c r="G33" s="14"/>
      <c r="H33" s="14"/>
      <c r="I33" s="14"/>
      <c r="J33" s="16"/>
    </row>
    <row r="34" spans="1:10" ht="20.25" customHeight="1">
      <c r="A34" s="13"/>
      <c r="B34" s="14"/>
      <c r="C34" s="14"/>
      <c r="D34" s="14"/>
      <c r="E34" s="14"/>
      <c r="F34" s="14"/>
      <c r="G34" s="14" t="s">
        <v>28</v>
      </c>
      <c r="H34" s="14"/>
      <c r="I34" s="14"/>
      <c r="J34" s="16"/>
    </row>
    <row r="35" spans="1:10" ht="20.25" customHeight="1">
      <c r="A35" s="13" t="s">
        <v>29</v>
      </c>
      <c r="B35" s="14"/>
      <c r="C35" s="14"/>
      <c r="D35" s="14"/>
      <c r="E35" s="14"/>
      <c r="F35" s="14"/>
      <c r="G35" s="14"/>
      <c r="H35" s="14"/>
      <c r="I35" s="14"/>
      <c r="J35" s="16"/>
    </row>
    <row r="36" spans="1:10" ht="20.25" customHeight="1" thickBot="1">
      <c r="A36" s="19"/>
      <c r="B36" s="20"/>
      <c r="C36" s="20"/>
      <c r="D36" s="20"/>
      <c r="E36" s="20"/>
      <c r="F36" s="20"/>
      <c r="G36" s="20"/>
      <c r="H36" s="20"/>
      <c r="I36" s="20"/>
      <c r="J36" s="21"/>
    </row>
  </sheetData>
  <mergeCells count="12">
    <mergeCell ref="G15:H15"/>
    <mergeCell ref="A4:J4"/>
    <mergeCell ref="I5:J5"/>
    <mergeCell ref="I6:J6"/>
    <mergeCell ref="E9:F9"/>
    <mergeCell ref="I9:J9"/>
    <mergeCell ref="C7:I7"/>
    <mergeCell ref="H2:J3"/>
    <mergeCell ref="G2:G3"/>
    <mergeCell ref="G8:I8"/>
    <mergeCell ref="A1:J1"/>
    <mergeCell ref="A7:B7"/>
  </mergeCells>
  <pageMargins left="0.73" right="0.39" top="0.59" bottom="0.75" header="0.3" footer="0.3"/>
  <pageSetup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8"/>
  <sheetViews>
    <sheetView tabSelected="1" view="pageBreakPreview" topLeftCell="A25" zoomScale="96" zoomScaleNormal="96" zoomScaleSheetLayoutView="96" workbookViewId="0">
      <selection activeCell="B5" sqref="B5"/>
    </sheetView>
  </sheetViews>
  <sheetFormatPr defaultColWidth="9.109375" defaultRowHeight="15"/>
  <cols>
    <col min="1" max="1" width="52" style="28" bestFit="1" customWidth="1"/>
    <col min="2" max="2" width="12.109375" style="78" bestFit="1" customWidth="1"/>
    <col min="3" max="3" width="9.5546875" style="28" bestFit="1" customWidth="1"/>
    <col min="4" max="4" width="6.33203125" style="28" bestFit="1" customWidth="1"/>
    <col min="5" max="5" width="10.6640625" style="33" bestFit="1" customWidth="1"/>
    <col min="6" max="6" width="15.109375" style="28" customWidth="1"/>
    <col min="7" max="7" width="4.5546875" style="28" bestFit="1" customWidth="1"/>
    <col min="8" max="16384" width="9.109375" style="28"/>
  </cols>
  <sheetData>
    <row r="1" spans="1:7" ht="16.2" thickTop="1">
      <c r="A1" s="103" t="str">
        <f>'21 No. P.A. Form'!C7</f>
        <v xml:space="preserve">ભદ્રાસા તાબે નવાદાજીપુરામાં સી.સી. રસ્તાનું કામ. </v>
      </c>
      <c r="B1" s="104"/>
      <c r="C1" s="104"/>
      <c r="D1" s="104"/>
      <c r="E1" s="104"/>
      <c r="F1" s="104"/>
      <c r="G1" s="105"/>
    </row>
    <row r="2" spans="1:7">
      <c r="A2" s="106" t="s">
        <v>30</v>
      </c>
      <c r="B2" s="108" t="s">
        <v>31</v>
      </c>
      <c r="C2" s="108" t="s">
        <v>32</v>
      </c>
      <c r="D2" s="108" t="s">
        <v>33</v>
      </c>
      <c r="E2" s="109" t="s">
        <v>34</v>
      </c>
      <c r="F2" s="108" t="s">
        <v>35</v>
      </c>
      <c r="G2" s="110" t="s">
        <v>36</v>
      </c>
    </row>
    <row r="3" spans="1:7">
      <c r="A3" s="107"/>
      <c r="B3" s="108"/>
      <c r="C3" s="108"/>
      <c r="D3" s="108"/>
      <c r="E3" s="109"/>
      <c r="F3" s="108"/>
      <c r="G3" s="110"/>
    </row>
    <row r="4" spans="1:7" ht="60">
      <c r="A4" s="29" t="s">
        <v>86</v>
      </c>
      <c r="B4" s="45">
        <v>0</v>
      </c>
      <c r="C4" s="30">
        <v>1030.81</v>
      </c>
      <c r="D4" s="31" t="s">
        <v>37</v>
      </c>
      <c r="E4" s="45">
        <f>B4*C4</f>
        <v>0</v>
      </c>
      <c r="F4" s="31"/>
      <c r="G4" s="32"/>
    </row>
    <row r="5" spans="1:7" ht="90">
      <c r="A5" s="29" t="s">
        <v>87</v>
      </c>
      <c r="B5" s="45">
        <v>205.33</v>
      </c>
      <c r="C5" s="30">
        <v>89</v>
      </c>
      <c r="D5" s="31" t="s">
        <v>37</v>
      </c>
      <c r="E5" s="45">
        <f>B5*C5</f>
        <v>18274.370000000003</v>
      </c>
      <c r="F5" s="31"/>
      <c r="G5" s="32"/>
    </row>
    <row r="6" spans="1:7" ht="150">
      <c r="A6" s="29" t="s">
        <v>88</v>
      </c>
      <c r="B6" s="45"/>
      <c r="C6" s="30"/>
      <c r="D6" s="31"/>
      <c r="E6" s="45"/>
      <c r="F6" s="31"/>
      <c r="G6" s="32"/>
    </row>
    <row r="7" spans="1:7" ht="15.6">
      <c r="A7" s="68" t="s">
        <v>90</v>
      </c>
      <c r="B7" s="77">
        <v>0</v>
      </c>
      <c r="C7" s="70">
        <v>421</v>
      </c>
      <c r="D7" s="71" t="s">
        <v>96</v>
      </c>
      <c r="E7" s="45">
        <f t="shared" ref="E7:E12" si="0">B7*C7</f>
        <v>0</v>
      </c>
      <c r="F7" s="31"/>
      <c r="G7" s="32"/>
    </row>
    <row r="8" spans="1:7" ht="15.6">
      <c r="A8" s="68" t="s">
        <v>91</v>
      </c>
      <c r="B8" s="77">
        <v>100</v>
      </c>
      <c r="C8" s="70">
        <v>672</v>
      </c>
      <c r="D8" s="71" t="s">
        <v>96</v>
      </c>
      <c r="E8" s="45">
        <f t="shared" si="0"/>
        <v>67200</v>
      </c>
      <c r="F8" s="31"/>
      <c r="G8" s="32"/>
    </row>
    <row r="9" spans="1:7" ht="15.6">
      <c r="A9" s="68" t="s">
        <v>92</v>
      </c>
      <c r="B9" s="77">
        <v>92.5</v>
      </c>
      <c r="C9" s="70">
        <v>817</v>
      </c>
      <c r="D9" s="71" t="s">
        <v>96</v>
      </c>
      <c r="E9" s="45">
        <f t="shared" si="0"/>
        <v>75572.5</v>
      </c>
      <c r="F9" s="31"/>
      <c r="G9" s="32"/>
    </row>
    <row r="10" spans="1:7" ht="15.6">
      <c r="A10" s="69" t="s">
        <v>93</v>
      </c>
      <c r="B10" s="77">
        <v>70</v>
      </c>
      <c r="C10" s="70">
        <v>1331</v>
      </c>
      <c r="D10" s="71" t="s">
        <v>96</v>
      </c>
      <c r="E10" s="45">
        <f t="shared" si="0"/>
        <v>93170</v>
      </c>
      <c r="F10" s="31"/>
      <c r="G10" s="32"/>
    </row>
    <row r="11" spans="1:7" ht="15.6">
      <c r="A11" s="69" t="s">
        <v>94</v>
      </c>
      <c r="B11" s="77">
        <v>0</v>
      </c>
      <c r="C11" s="70">
        <v>2476</v>
      </c>
      <c r="D11" s="71" t="s">
        <v>96</v>
      </c>
      <c r="E11" s="45">
        <f t="shared" si="0"/>
        <v>0</v>
      </c>
      <c r="F11" s="31"/>
      <c r="G11" s="32"/>
    </row>
    <row r="12" spans="1:7" ht="15.6">
      <c r="A12" s="69" t="s">
        <v>95</v>
      </c>
      <c r="B12" s="77">
        <v>0</v>
      </c>
      <c r="C12" s="70">
        <v>4121</v>
      </c>
      <c r="D12" s="71" t="s">
        <v>96</v>
      </c>
      <c r="E12" s="45">
        <f t="shared" si="0"/>
        <v>0</v>
      </c>
      <c r="F12" s="31"/>
      <c r="G12" s="32"/>
    </row>
    <row r="13" spans="1:7" ht="90">
      <c r="A13" s="29" t="s">
        <v>89</v>
      </c>
      <c r="B13" s="45"/>
      <c r="C13" s="30"/>
      <c r="D13" s="31"/>
      <c r="E13" s="45"/>
      <c r="F13" s="31"/>
      <c r="G13" s="32"/>
    </row>
    <row r="14" spans="1:7" ht="15.6">
      <c r="A14" s="68" t="s">
        <v>90</v>
      </c>
      <c r="B14" s="77">
        <f t="shared" ref="B14:B19" si="1">B7</f>
        <v>0</v>
      </c>
      <c r="C14" s="70">
        <v>88</v>
      </c>
      <c r="D14" s="71" t="s">
        <v>96</v>
      </c>
      <c r="E14" s="45">
        <f t="shared" ref="E14:E19" si="2">B14*C14</f>
        <v>0</v>
      </c>
      <c r="F14" s="31"/>
      <c r="G14" s="32"/>
    </row>
    <row r="15" spans="1:7" ht="15.6">
      <c r="A15" s="68" t="s">
        <v>91</v>
      </c>
      <c r="B15" s="77">
        <f t="shared" si="1"/>
        <v>100</v>
      </c>
      <c r="C15" s="70">
        <v>119</v>
      </c>
      <c r="D15" s="71" t="s">
        <v>96</v>
      </c>
      <c r="E15" s="45">
        <f t="shared" si="2"/>
        <v>11900</v>
      </c>
      <c r="F15" s="31"/>
      <c r="G15" s="32"/>
    </row>
    <row r="16" spans="1:7" ht="15.6">
      <c r="A16" s="68" t="s">
        <v>92</v>
      </c>
      <c r="B16" s="77">
        <f t="shared" si="1"/>
        <v>92.5</v>
      </c>
      <c r="C16" s="70">
        <v>171</v>
      </c>
      <c r="D16" s="71" t="s">
        <v>96</v>
      </c>
      <c r="E16" s="45">
        <f t="shared" si="2"/>
        <v>15817.5</v>
      </c>
      <c r="F16" s="31"/>
      <c r="G16" s="32"/>
    </row>
    <row r="17" spans="1:9" ht="15.6">
      <c r="A17" s="69" t="s">
        <v>93</v>
      </c>
      <c r="B17" s="77">
        <f t="shared" si="1"/>
        <v>70</v>
      </c>
      <c r="C17" s="70">
        <v>228</v>
      </c>
      <c r="D17" s="71" t="s">
        <v>96</v>
      </c>
      <c r="E17" s="45">
        <f t="shared" si="2"/>
        <v>15960</v>
      </c>
      <c r="F17" s="31"/>
      <c r="G17" s="32"/>
    </row>
    <row r="18" spans="1:9" ht="15.6">
      <c r="A18" s="69" t="s">
        <v>94</v>
      </c>
      <c r="B18" s="77">
        <f t="shared" si="1"/>
        <v>0</v>
      </c>
      <c r="C18" s="70">
        <v>340</v>
      </c>
      <c r="D18" s="71" t="s">
        <v>96</v>
      </c>
      <c r="E18" s="45">
        <f t="shared" si="2"/>
        <v>0</v>
      </c>
      <c r="F18" s="31"/>
      <c r="G18" s="32"/>
    </row>
    <row r="19" spans="1:9" ht="15.6">
      <c r="A19" s="69" t="s">
        <v>95</v>
      </c>
      <c r="B19" s="77">
        <f t="shared" si="1"/>
        <v>0</v>
      </c>
      <c r="C19" s="70">
        <v>440</v>
      </c>
      <c r="D19" s="71" t="s">
        <v>96</v>
      </c>
      <c r="E19" s="45">
        <f t="shared" si="2"/>
        <v>0</v>
      </c>
      <c r="F19" s="31"/>
      <c r="G19" s="32"/>
    </row>
    <row r="20" spans="1:9" ht="225">
      <c r="A20" s="29" t="s">
        <v>97</v>
      </c>
      <c r="B20" s="45"/>
      <c r="C20" s="30"/>
      <c r="D20" s="31"/>
      <c r="E20" s="45"/>
      <c r="F20" s="31"/>
      <c r="G20" s="32"/>
    </row>
    <row r="21" spans="1:9" ht="15.6">
      <c r="A21" s="72" t="s">
        <v>98</v>
      </c>
      <c r="B21" s="77">
        <v>0</v>
      </c>
      <c r="C21" s="70">
        <v>5138</v>
      </c>
      <c r="D21" s="71" t="s">
        <v>38</v>
      </c>
      <c r="E21" s="45">
        <f>B21*C21</f>
        <v>0</v>
      </c>
      <c r="F21" s="31"/>
      <c r="G21" s="32"/>
    </row>
    <row r="22" spans="1:9" ht="15.6">
      <c r="A22" s="73" t="s">
        <v>99</v>
      </c>
      <c r="B22" s="77">
        <v>5</v>
      </c>
      <c r="C22" s="70">
        <v>7343</v>
      </c>
      <c r="D22" s="71" t="s">
        <v>38</v>
      </c>
      <c r="E22" s="45">
        <f>B22*C22</f>
        <v>36715</v>
      </c>
      <c r="F22" s="31"/>
      <c r="G22" s="32"/>
    </row>
    <row r="23" spans="1:9" ht="15.6">
      <c r="A23" s="73" t="s">
        <v>100</v>
      </c>
      <c r="B23" s="77">
        <v>2</v>
      </c>
      <c r="C23" s="70">
        <v>8882</v>
      </c>
      <c r="D23" s="71" t="s">
        <v>38</v>
      </c>
      <c r="E23" s="45">
        <f>B23*C23</f>
        <v>17764</v>
      </c>
      <c r="F23" s="31"/>
      <c r="G23" s="32"/>
    </row>
    <row r="24" spans="1:9" ht="15.6">
      <c r="A24" s="73" t="s">
        <v>101</v>
      </c>
      <c r="B24" s="77">
        <v>0</v>
      </c>
      <c r="C24" s="74">
        <v>10698</v>
      </c>
      <c r="D24" s="71" t="s">
        <v>38</v>
      </c>
      <c r="E24" s="45">
        <f>B24*C24</f>
        <v>0</v>
      </c>
      <c r="F24" s="31"/>
      <c r="G24" s="32"/>
    </row>
    <row r="25" spans="1:9" ht="45">
      <c r="A25" s="29" t="s">
        <v>102</v>
      </c>
      <c r="B25" s="45">
        <v>154.33000000000001</v>
      </c>
      <c r="C25" s="30">
        <v>22</v>
      </c>
      <c r="D25" s="31" t="s">
        <v>37</v>
      </c>
      <c r="E25" s="45">
        <f>B25*C25</f>
        <v>3395.26</v>
      </c>
      <c r="F25" s="31"/>
      <c r="G25" s="32"/>
    </row>
    <row r="26" spans="1:9" ht="105">
      <c r="A26" s="29" t="s">
        <v>103</v>
      </c>
      <c r="B26" s="45"/>
      <c r="C26" s="30"/>
      <c r="D26" s="31"/>
      <c r="E26" s="45"/>
      <c r="F26" s="31"/>
      <c r="G26" s="32"/>
    </row>
    <row r="27" spans="1:9" ht="15.6">
      <c r="A27" s="75" t="s">
        <v>104</v>
      </c>
      <c r="B27" s="45">
        <f>B21+B22+B23+B24</f>
        <v>7</v>
      </c>
      <c r="C27" s="76">
        <v>1121</v>
      </c>
      <c r="D27" s="76" t="s">
        <v>38</v>
      </c>
      <c r="E27" s="45">
        <f>B27*C27</f>
        <v>7847</v>
      </c>
      <c r="F27" s="31"/>
      <c r="G27" s="32"/>
    </row>
    <row r="28" spans="1:9" ht="15.6">
      <c r="A28" s="75" t="s">
        <v>105</v>
      </c>
      <c r="B28" s="45">
        <f>B27</f>
        <v>7</v>
      </c>
      <c r="C28" s="76">
        <v>1173</v>
      </c>
      <c r="D28" s="76" t="s">
        <v>38</v>
      </c>
      <c r="E28" s="45">
        <f>B28*C28</f>
        <v>8211</v>
      </c>
      <c r="F28" s="31"/>
      <c r="G28" s="32"/>
    </row>
    <row r="29" spans="1:9" ht="75">
      <c r="A29" s="29" t="s">
        <v>106</v>
      </c>
      <c r="B29" s="45">
        <v>0</v>
      </c>
      <c r="C29" s="30">
        <v>3652.31</v>
      </c>
      <c r="D29" s="31" t="s">
        <v>107</v>
      </c>
      <c r="E29" s="45">
        <f>B29*C29</f>
        <v>0</v>
      </c>
      <c r="F29" s="31"/>
      <c r="G29" s="32"/>
    </row>
    <row r="30" spans="1:9" ht="45">
      <c r="A30" s="29" t="s">
        <v>108</v>
      </c>
      <c r="B30" s="45">
        <v>1</v>
      </c>
      <c r="C30" s="30">
        <v>306.14</v>
      </c>
      <c r="D30" s="31" t="s">
        <v>38</v>
      </c>
      <c r="E30" s="45">
        <f>B30*C30</f>
        <v>306.14</v>
      </c>
      <c r="F30" s="31"/>
      <c r="G30" s="32"/>
    </row>
    <row r="31" spans="1:9" ht="15.6">
      <c r="A31" s="98" t="s">
        <v>66</v>
      </c>
      <c r="B31" s="99"/>
      <c r="C31" s="100"/>
      <c r="D31" s="31" t="s">
        <v>39</v>
      </c>
      <c r="E31" s="45">
        <f>SUM(E4:E30)</f>
        <v>372132.77</v>
      </c>
      <c r="F31" s="31"/>
      <c r="G31" s="32"/>
      <c r="I31" s="33"/>
    </row>
    <row r="32" spans="1:9" ht="15.6">
      <c r="A32" s="98" t="s">
        <v>69</v>
      </c>
      <c r="B32" s="99"/>
      <c r="C32" s="100"/>
      <c r="D32" s="31" t="s">
        <v>39</v>
      </c>
      <c r="E32" s="45">
        <f>E31*18%</f>
        <v>66983.8986</v>
      </c>
      <c r="F32" s="31"/>
      <c r="G32" s="32"/>
      <c r="I32" s="33"/>
    </row>
    <row r="33" spans="1:9" ht="15.6">
      <c r="A33" s="98" t="s">
        <v>66</v>
      </c>
      <c r="B33" s="99"/>
      <c r="C33" s="100"/>
      <c r="D33" s="31" t="s">
        <v>39</v>
      </c>
      <c r="E33" s="45">
        <f>E31+E32</f>
        <v>439116.66860000003</v>
      </c>
      <c r="F33" s="31"/>
      <c r="G33" s="32"/>
      <c r="I33" s="33"/>
    </row>
    <row r="34" spans="1:9" ht="15.6">
      <c r="A34" s="98" t="s">
        <v>40</v>
      </c>
      <c r="B34" s="99"/>
      <c r="C34" s="100"/>
      <c r="D34" s="31" t="s">
        <v>39</v>
      </c>
      <c r="E34" s="45">
        <f>ROUNDDOWN(E33,0)</f>
        <v>439116</v>
      </c>
      <c r="F34" s="31"/>
      <c r="G34" s="32"/>
    </row>
    <row r="35" spans="1:9">
      <c r="A35" s="46" t="s">
        <v>84</v>
      </c>
      <c r="B35" s="101" t="s">
        <v>85</v>
      </c>
      <c r="C35" s="101"/>
      <c r="D35" s="101"/>
      <c r="E35" s="101"/>
      <c r="F35" s="101"/>
      <c r="G35" s="102"/>
    </row>
    <row r="36" spans="1:9" ht="15.6">
      <c r="A36" s="34" t="s">
        <v>63</v>
      </c>
      <c r="B36" s="47" t="s">
        <v>76</v>
      </c>
      <c r="C36" s="35"/>
      <c r="D36" s="35"/>
      <c r="E36" s="35"/>
      <c r="F36" s="35"/>
      <c r="G36" s="36"/>
    </row>
    <row r="37" spans="1:9" ht="15.6">
      <c r="A37" s="34" t="s">
        <v>60</v>
      </c>
      <c r="B37" s="47">
        <v>275</v>
      </c>
      <c r="C37" s="38" t="s">
        <v>61</v>
      </c>
      <c r="D37" s="47">
        <v>14</v>
      </c>
      <c r="E37" s="37" t="s">
        <v>62</v>
      </c>
      <c r="F37" s="47">
        <v>15</v>
      </c>
      <c r="G37" s="36"/>
    </row>
    <row r="38" spans="1:9" ht="15.6">
      <c r="A38" s="39"/>
      <c r="B38" s="11"/>
      <c r="C38" s="11"/>
      <c r="D38" s="11"/>
      <c r="E38" s="40"/>
      <c r="F38" s="11"/>
      <c r="G38" s="41"/>
    </row>
    <row r="39" spans="1:9" ht="15.6">
      <c r="A39" s="39"/>
      <c r="B39" s="96" t="s">
        <v>41</v>
      </c>
      <c r="C39" s="96"/>
      <c r="D39" s="96"/>
      <c r="E39" s="96"/>
      <c r="F39" s="96"/>
      <c r="G39" s="41"/>
    </row>
    <row r="40" spans="1:9" ht="16.2" thickBot="1">
      <c r="A40" s="42" t="s">
        <v>57</v>
      </c>
      <c r="B40" s="97"/>
      <c r="C40" s="97"/>
      <c r="D40" s="97"/>
      <c r="E40" s="97"/>
      <c r="F40" s="97"/>
      <c r="G40" s="43"/>
    </row>
    <row r="41" spans="1:9" ht="16.2" thickTop="1">
      <c r="A41" s="44"/>
      <c r="B41" s="11"/>
      <c r="C41" s="11"/>
      <c r="D41" s="11"/>
      <c r="E41" s="40"/>
      <c r="F41" s="11"/>
      <c r="G41" s="11"/>
    </row>
    <row r="42" spans="1:9" ht="15.6">
      <c r="A42" s="44"/>
      <c r="B42" s="11"/>
      <c r="C42" s="11"/>
      <c r="D42" s="11"/>
      <c r="E42" s="40"/>
      <c r="F42" s="11"/>
      <c r="G42" s="11"/>
    </row>
    <row r="43" spans="1:9" ht="15.6">
      <c r="A43" s="44"/>
      <c r="B43" s="11"/>
      <c r="C43" s="11"/>
      <c r="D43" s="11"/>
      <c r="E43" s="40"/>
      <c r="F43" s="11"/>
      <c r="G43" s="11"/>
    </row>
    <row r="44" spans="1:9" ht="15.6">
      <c r="A44" s="44"/>
      <c r="B44" s="11"/>
      <c r="C44" s="11"/>
      <c r="D44" s="11"/>
      <c r="E44" s="40"/>
      <c r="F44" s="11"/>
      <c r="G44" s="11"/>
    </row>
    <row r="45" spans="1:9" ht="15.6">
      <c r="A45" s="44"/>
      <c r="B45" s="11"/>
      <c r="C45" s="11"/>
      <c r="D45" s="11"/>
      <c r="E45" s="40"/>
      <c r="F45" s="11"/>
      <c r="G45" s="11"/>
    </row>
    <row r="46" spans="1:9" ht="15.6">
      <c r="A46" s="44"/>
      <c r="B46" s="11"/>
      <c r="C46" s="11"/>
      <c r="D46" s="11"/>
      <c r="E46" s="40"/>
      <c r="F46" s="11"/>
      <c r="G46" s="11"/>
    </row>
    <row r="47" spans="1:9" ht="15.6">
      <c r="A47" s="44"/>
      <c r="B47" s="11"/>
      <c r="C47" s="11"/>
      <c r="D47" s="11"/>
      <c r="E47" s="40"/>
      <c r="F47" s="11"/>
      <c r="G47" s="11"/>
    </row>
    <row r="48" spans="1:9" ht="15.6">
      <c r="A48" s="44"/>
      <c r="B48" s="11"/>
      <c r="C48" s="11"/>
      <c r="D48" s="11"/>
      <c r="E48" s="40"/>
      <c r="F48" s="11"/>
      <c r="G48" s="11"/>
    </row>
    <row r="49" spans="1:7" ht="15.6">
      <c r="A49" s="44"/>
      <c r="B49" s="11"/>
      <c r="C49" s="11"/>
      <c r="D49" s="11"/>
      <c r="E49" s="40"/>
      <c r="F49" s="11"/>
      <c r="G49" s="11"/>
    </row>
    <row r="50" spans="1:7" ht="15.6">
      <c r="A50" s="44"/>
      <c r="B50" s="11"/>
      <c r="C50" s="11"/>
      <c r="D50" s="11"/>
      <c r="E50" s="40"/>
      <c r="F50" s="11"/>
      <c r="G50" s="11"/>
    </row>
    <row r="51" spans="1:7" ht="15.6">
      <c r="A51" s="44"/>
      <c r="B51" s="11"/>
      <c r="C51" s="11"/>
      <c r="D51" s="11"/>
      <c r="E51" s="40"/>
      <c r="F51" s="11"/>
      <c r="G51" s="11"/>
    </row>
    <row r="52" spans="1:7" ht="15.6">
      <c r="A52" s="44"/>
      <c r="B52" s="11"/>
      <c r="C52" s="11"/>
      <c r="D52" s="11"/>
      <c r="E52" s="40"/>
      <c r="F52" s="11"/>
      <c r="G52" s="11"/>
    </row>
    <row r="53" spans="1:7" ht="15.6">
      <c r="A53" s="44"/>
      <c r="B53" s="11"/>
      <c r="C53" s="11"/>
      <c r="D53" s="11"/>
      <c r="E53" s="40"/>
      <c r="F53" s="11"/>
      <c r="G53" s="11"/>
    </row>
    <row r="54" spans="1:7" ht="15.6">
      <c r="A54" s="44"/>
      <c r="B54" s="11"/>
      <c r="C54" s="11"/>
      <c r="D54" s="11"/>
      <c r="E54" s="40"/>
      <c r="F54" s="11"/>
      <c r="G54" s="11"/>
    </row>
    <row r="55" spans="1:7" ht="15.6">
      <c r="A55" s="44"/>
      <c r="B55" s="11"/>
      <c r="C55" s="11"/>
      <c r="D55" s="11"/>
      <c r="E55" s="40"/>
      <c r="F55" s="11"/>
      <c r="G55" s="11"/>
    </row>
    <row r="56" spans="1:7" ht="15.6">
      <c r="A56" s="44"/>
      <c r="B56" s="11"/>
      <c r="C56" s="11"/>
      <c r="D56" s="11"/>
      <c r="E56" s="40"/>
      <c r="F56" s="11"/>
      <c r="G56" s="11"/>
    </row>
    <row r="57" spans="1:7" ht="15.6">
      <c r="A57" s="44"/>
      <c r="B57" s="11"/>
      <c r="C57" s="11"/>
      <c r="D57" s="11"/>
      <c r="E57" s="40"/>
      <c r="F57" s="11"/>
      <c r="G57" s="11"/>
    </row>
    <row r="58" spans="1:7" ht="15.6">
      <c r="A58" s="44"/>
      <c r="B58" s="11"/>
      <c r="C58" s="11"/>
      <c r="D58" s="11"/>
      <c r="E58" s="40"/>
      <c r="F58" s="11"/>
      <c r="G58" s="11"/>
    </row>
    <row r="59" spans="1:7" ht="15.6">
      <c r="A59" s="44"/>
      <c r="B59" s="11"/>
      <c r="C59" s="11"/>
      <c r="D59" s="11"/>
      <c r="E59" s="40"/>
      <c r="F59" s="11"/>
      <c r="G59" s="11"/>
    </row>
    <row r="60" spans="1:7" ht="15.6">
      <c r="A60" s="44"/>
      <c r="B60" s="11"/>
      <c r="C60" s="11"/>
      <c r="D60" s="11"/>
      <c r="E60" s="40"/>
      <c r="F60" s="11"/>
      <c r="G60" s="11"/>
    </row>
    <row r="61" spans="1:7" ht="15.6">
      <c r="A61" s="44"/>
      <c r="B61" s="11"/>
      <c r="C61" s="11"/>
      <c r="D61" s="11"/>
      <c r="E61" s="40"/>
      <c r="F61" s="11"/>
      <c r="G61" s="11"/>
    </row>
    <row r="62" spans="1:7" ht="15.6">
      <c r="A62" s="44"/>
      <c r="B62" s="11"/>
      <c r="C62" s="11"/>
      <c r="D62" s="11"/>
      <c r="E62" s="40"/>
      <c r="F62" s="11"/>
      <c r="G62" s="11"/>
    </row>
    <row r="63" spans="1:7" ht="15.6">
      <c r="A63" s="44"/>
      <c r="B63" s="11"/>
      <c r="C63" s="11"/>
      <c r="D63" s="11"/>
      <c r="E63" s="40"/>
      <c r="F63" s="11"/>
      <c r="G63" s="11"/>
    </row>
    <row r="64" spans="1:7" ht="15.6">
      <c r="A64" s="44"/>
      <c r="B64" s="11"/>
      <c r="C64" s="11"/>
      <c r="D64" s="11"/>
      <c r="E64" s="40"/>
      <c r="F64" s="11"/>
      <c r="G64" s="11"/>
    </row>
    <row r="65" spans="1:7" ht="15.6">
      <c r="A65" s="44"/>
      <c r="B65" s="11"/>
      <c r="C65" s="11"/>
      <c r="D65" s="11"/>
      <c r="E65" s="40"/>
      <c r="F65" s="11"/>
      <c r="G65" s="11"/>
    </row>
    <row r="66" spans="1:7" ht="15.6">
      <c r="A66" s="44"/>
      <c r="B66" s="11"/>
      <c r="C66" s="11"/>
      <c r="D66" s="11"/>
      <c r="E66" s="40"/>
      <c r="F66" s="11"/>
      <c r="G66" s="11"/>
    </row>
    <row r="67" spans="1:7" ht="15.6">
      <c r="A67" s="44"/>
      <c r="B67" s="11"/>
      <c r="C67" s="11"/>
      <c r="D67" s="11"/>
      <c r="E67" s="40"/>
      <c r="F67" s="11"/>
      <c r="G67" s="11"/>
    </row>
    <row r="68" spans="1:7" ht="15.6">
      <c r="A68" s="44"/>
      <c r="B68" s="11"/>
      <c r="C68" s="11"/>
      <c r="D68" s="11"/>
      <c r="E68" s="40"/>
      <c r="F68" s="11"/>
      <c r="G68" s="11"/>
    </row>
  </sheetData>
  <mergeCells count="14">
    <mergeCell ref="A1:G1"/>
    <mergeCell ref="A2:A3"/>
    <mergeCell ref="B2:B3"/>
    <mergeCell ref="C2:C3"/>
    <mergeCell ref="D2:D3"/>
    <mergeCell ref="E2:E3"/>
    <mergeCell ref="F2:F3"/>
    <mergeCell ref="G2:G3"/>
    <mergeCell ref="B39:F40"/>
    <mergeCell ref="A31:C31"/>
    <mergeCell ref="A34:C34"/>
    <mergeCell ref="A32:C32"/>
    <mergeCell ref="A33:C33"/>
    <mergeCell ref="B35:G35"/>
  </mergeCells>
  <pageMargins left="0.65" right="0.43" top="0.61" bottom="0.42" header="0.3" footer="0.3"/>
  <pageSetup paperSize="9" scale="78" orientation="portrait" r:id="rId1"/>
  <rowBreaks count="1" manualBreakCount="1">
    <brk id="24"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22"/>
  <sheetViews>
    <sheetView view="pageBreakPreview" zoomScale="95" zoomScaleNormal="100" zoomScaleSheetLayoutView="95" workbookViewId="0">
      <selection activeCell="C12" sqref="C12"/>
    </sheetView>
  </sheetViews>
  <sheetFormatPr defaultColWidth="8.88671875" defaultRowHeight="13.2"/>
  <cols>
    <col min="1" max="1" width="23.88671875" style="48" customWidth="1"/>
    <col min="2" max="2" width="5.88671875" style="48" customWidth="1"/>
    <col min="3" max="3" width="15.88671875" style="48" bestFit="1" customWidth="1"/>
    <col min="4" max="4" width="8.88671875" style="48"/>
    <col min="5" max="5" width="11.44140625" style="48" bestFit="1" customWidth="1"/>
    <col min="6" max="6" width="8.88671875" style="48"/>
    <col min="7" max="7" width="9.109375" style="48" customWidth="1"/>
    <col min="8" max="8" width="21.88671875" style="48" customWidth="1"/>
    <col min="9" max="16384" width="8.88671875" style="48"/>
  </cols>
  <sheetData>
    <row r="1" spans="1:17" ht="45" customHeight="1">
      <c r="A1" s="122" t="s">
        <v>42</v>
      </c>
      <c r="B1" s="122"/>
      <c r="C1" s="122"/>
      <c r="D1" s="122"/>
      <c r="E1" s="122"/>
      <c r="F1" s="122"/>
      <c r="G1" s="122"/>
      <c r="H1" s="122"/>
    </row>
    <row r="2" spans="1:17" s="50" customFormat="1" ht="26.25" customHeight="1">
      <c r="A2" s="49" t="s">
        <v>43</v>
      </c>
      <c r="B2" s="49" t="s">
        <v>44</v>
      </c>
      <c r="C2" s="112" t="str">
        <f>'21 No. P.A. Form'!H2</f>
        <v xml:space="preserve">૧૫ મુ નાણાપંચ ગ્રામ્ય કક્ષા વર્ષ ૨૦૨૫-૨૬ પ્રથમ  હપ્તો </v>
      </c>
      <c r="D2" s="112"/>
      <c r="E2" s="112"/>
      <c r="F2" s="112"/>
      <c r="G2" s="112"/>
      <c r="H2" s="112"/>
    </row>
    <row r="3" spans="1:17" s="50" customFormat="1" ht="48" customHeight="1">
      <c r="A3" s="49" t="s">
        <v>45</v>
      </c>
      <c r="B3" s="49" t="s">
        <v>44</v>
      </c>
      <c r="C3" s="123" t="str">
        <f>'21 No. P.A. Form'!C7:I7</f>
        <v xml:space="preserve">ભદ્રાસા તાબે નવાદાજીપુરામાં સી.સી. રસ્તાનું કામ. </v>
      </c>
      <c r="D3" s="124"/>
      <c r="E3" s="124"/>
      <c r="F3" s="124"/>
      <c r="G3" s="124"/>
      <c r="H3" s="125"/>
    </row>
    <row r="4" spans="1:17" ht="23.25" customHeight="1">
      <c r="A4" s="51" t="s">
        <v>46</v>
      </c>
      <c r="B4" s="51" t="s">
        <v>44</v>
      </c>
      <c r="C4" s="112" t="s">
        <v>75</v>
      </c>
      <c r="D4" s="112"/>
      <c r="E4" s="112"/>
      <c r="F4" s="112"/>
      <c r="G4" s="112"/>
      <c r="H4" s="112"/>
      <c r="I4" s="48" t="s">
        <v>56</v>
      </c>
    </row>
    <row r="5" spans="1:17" ht="30" customHeight="1">
      <c r="A5" s="52" t="s">
        <v>47</v>
      </c>
      <c r="B5" s="52" t="s">
        <v>44</v>
      </c>
      <c r="C5" s="112">
        <v>379000</v>
      </c>
      <c r="D5" s="112"/>
      <c r="E5" s="112"/>
      <c r="F5" s="112"/>
      <c r="G5" s="112"/>
      <c r="H5" s="112"/>
    </row>
    <row r="6" spans="1:17" s="54" customFormat="1" ht="41.25" customHeight="1">
      <c r="A6" s="53" t="s">
        <v>48</v>
      </c>
      <c r="B6" s="52" t="s">
        <v>44</v>
      </c>
      <c r="C6" s="123" t="s">
        <v>74</v>
      </c>
      <c r="D6" s="124"/>
      <c r="E6" s="124"/>
      <c r="F6" s="124"/>
      <c r="G6" s="124"/>
      <c r="H6" s="125"/>
      <c r="L6" s="126"/>
      <c r="M6" s="126"/>
      <c r="N6" s="126"/>
      <c r="O6" s="126"/>
      <c r="P6" s="126"/>
      <c r="Q6" s="126"/>
    </row>
    <row r="7" spans="1:17" ht="29.25" customHeight="1">
      <c r="A7" s="51" t="s">
        <v>49</v>
      </c>
      <c r="B7" s="51" t="s">
        <v>44</v>
      </c>
      <c r="C7" s="112">
        <f>C5</f>
        <v>379000</v>
      </c>
      <c r="D7" s="112"/>
      <c r="E7" s="112"/>
      <c r="F7" s="112"/>
      <c r="G7" s="112"/>
      <c r="H7" s="112"/>
    </row>
    <row r="8" spans="1:17" ht="29.25" customHeight="1">
      <c r="A8" s="51" t="s">
        <v>50</v>
      </c>
      <c r="B8" s="51" t="s">
        <v>44</v>
      </c>
      <c r="C8" s="113" t="str">
        <f>'21 No. P.A. Form'!G8</f>
        <v xml:space="preserve">સરપંચ શ્રી ગ્રામ પંચાયત </v>
      </c>
      <c r="D8" s="113"/>
      <c r="E8" s="113"/>
      <c r="F8" s="119" t="str">
        <f>'21 No. P.A. Form'!J8</f>
        <v>ભદ્રાસા</v>
      </c>
      <c r="G8" s="120"/>
      <c r="H8" s="121"/>
    </row>
    <row r="9" spans="1:17" ht="29.25" customHeight="1">
      <c r="A9" s="51" t="s">
        <v>51</v>
      </c>
      <c r="B9" s="51" t="s">
        <v>44</v>
      </c>
      <c r="C9" s="116" t="s">
        <v>71</v>
      </c>
      <c r="D9" s="116"/>
      <c r="H9" s="55"/>
    </row>
    <row r="10" spans="1:17" ht="35.25" customHeight="1">
      <c r="A10" s="51" t="s">
        <v>52</v>
      </c>
      <c r="B10" s="51" t="s">
        <v>44</v>
      </c>
      <c r="C10" s="112" t="str">
        <f>Bill!B36</f>
        <v>11-05-2026.</v>
      </c>
      <c r="D10" s="112"/>
      <c r="H10" s="55"/>
    </row>
    <row r="11" spans="1:17" ht="29.25" customHeight="1">
      <c r="A11" s="56" t="s">
        <v>53</v>
      </c>
      <c r="B11" s="51" t="s">
        <v>44</v>
      </c>
      <c r="C11" s="117">
        <f>Bill!E34</f>
        <v>439116</v>
      </c>
      <c r="D11" s="112"/>
      <c r="H11" s="55"/>
    </row>
    <row r="12" spans="1:17" ht="31.2">
      <c r="A12" s="56" t="s">
        <v>54</v>
      </c>
      <c r="B12" s="51" t="s">
        <v>44</v>
      </c>
      <c r="C12" s="57" t="str">
        <f>Bill!A37</f>
        <v>MB NO -</v>
      </c>
      <c r="D12" s="67">
        <f>Bill!B37</f>
        <v>275</v>
      </c>
      <c r="E12" s="57" t="str">
        <f>Bill!C37</f>
        <v>PAGE NO</v>
      </c>
      <c r="F12" s="67">
        <f>Bill!D37</f>
        <v>14</v>
      </c>
      <c r="G12" s="57" t="str">
        <f>Bill!E37</f>
        <v xml:space="preserve">TO </v>
      </c>
      <c r="H12" s="67">
        <f>Bill!F37</f>
        <v>15</v>
      </c>
    </row>
    <row r="13" spans="1:17" ht="29.25" customHeight="1">
      <c r="A13" s="58" t="s">
        <v>55</v>
      </c>
      <c r="B13" s="51" t="s">
        <v>44</v>
      </c>
      <c r="C13" s="118" t="s">
        <v>67</v>
      </c>
      <c r="D13" s="118"/>
      <c r="E13" s="118"/>
      <c r="F13" s="118"/>
      <c r="G13" s="118"/>
      <c r="H13" s="59"/>
    </row>
    <row r="14" spans="1:17" ht="15.6">
      <c r="A14" s="60"/>
      <c r="B14" s="61"/>
      <c r="C14" s="61"/>
      <c r="D14" s="61"/>
      <c r="E14" s="61"/>
      <c r="F14" s="61"/>
      <c r="G14" s="61"/>
      <c r="H14" s="62"/>
    </row>
    <row r="15" spans="1:17" ht="15.6">
      <c r="A15" s="63"/>
      <c r="B15" s="44"/>
      <c r="C15" s="44"/>
      <c r="D15" s="44"/>
      <c r="E15" s="44"/>
      <c r="F15" s="44"/>
      <c r="G15" s="44"/>
      <c r="H15" s="55"/>
    </row>
    <row r="16" spans="1:17" ht="15.6">
      <c r="A16" s="63"/>
      <c r="B16" s="44"/>
      <c r="C16" s="44"/>
      <c r="D16" s="44"/>
      <c r="E16" s="44"/>
      <c r="F16" s="44"/>
      <c r="G16" s="44"/>
      <c r="H16" s="55"/>
    </row>
    <row r="17" spans="1:8" ht="15.6">
      <c r="A17" s="63"/>
      <c r="B17" s="44"/>
      <c r="C17" s="44"/>
      <c r="D17" s="44"/>
      <c r="E17" s="44"/>
      <c r="F17" s="44"/>
      <c r="G17" s="44"/>
      <c r="H17" s="55"/>
    </row>
    <row r="18" spans="1:8" ht="15.6">
      <c r="A18" s="111" t="s">
        <v>58</v>
      </c>
      <c r="B18" s="87"/>
      <c r="C18" s="44"/>
      <c r="F18" s="44"/>
      <c r="G18" s="44"/>
      <c r="H18" s="55"/>
    </row>
    <row r="19" spans="1:8" ht="15.6">
      <c r="A19" s="111" t="s">
        <v>0</v>
      </c>
      <c r="B19" s="87"/>
      <c r="C19" s="44"/>
      <c r="F19" s="44"/>
      <c r="G19" s="44"/>
      <c r="H19" s="55"/>
    </row>
    <row r="20" spans="1:8" ht="15.6">
      <c r="A20" s="114" t="str">
        <f>'21 No. P.A. Form'!J7</f>
        <v xml:space="preserve">તા. ઠાસરા </v>
      </c>
      <c r="B20" s="115"/>
      <c r="C20" s="44"/>
      <c r="F20" s="44"/>
      <c r="G20" s="44"/>
      <c r="H20" s="55"/>
    </row>
    <row r="21" spans="1:8" ht="15.6">
      <c r="A21" s="64"/>
      <c r="B21" s="65"/>
      <c r="C21" s="65"/>
      <c r="D21" s="65"/>
      <c r="E21" s="65"/>
      <c r="F21" s="65"/>
      <c r="G21" s="65"/>
      <c r="H21" s="66"/>
    </row>
    <row r="22" spans="1:8" ht="15.6">
      <c r="A22" s="44"/>
      <c r="B22" s="44"/>
      <c r="C22" s="44"/>
      <c r="D22" s="44"/>
      <c r="E22" s="44"/>
      <c r="F22" s="44"/>
      <c r="G22" s="44"/>
      <c r="H22" s="44"/>
    </row>
  </sheetData>
  <mergeCells count="17">
    <mergeCell ref="A1:H1"/>
    <mergeCell ref="C2:H2"/>
    <mergeCell ref="C3:H3"/>
    <mergeCell ref="L6:Q6"/>
    <mergeCell ref="C4:H4"/>
    <mergeCell ref="C5:H5"/>
    <mergeCell ref="C6:H6"/>
    <mergeCell ref="A19:B19"/>
    <mergeCell ref="C7:H7"/>
    <mergeCell ref="C8:E8"/>
    <mergeCell ref="A20:B20"/>
    <mergeCell ref="C9:D9"/>
    <mergeCell ref="C10:D10"/>
    <mergeCell ref="C11:D11"/>
    <mergeCell ref="C13:G13"/>
    <mergeCell ref="A18:B18"/>
    <mergeCell ref="F8:H8"/>
  </mergeCells>
  <pageMargins left="0.54" right="0.43" top="0.75" bottom="0.25" header="0.3" footer="0.3"/>
  <pageSetup scale="9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21 No. P.A. Form</vt:lpstr>
      <vt:lpstr>Bill</vt:lpstr>
      <vt:lpstr>COMP-14MU NAN</vt:lpstr>
      <vt:lpstr>'21 No. P.A. Form'!Print_Area</vt:lpstr>
      <vt:lpstr>Bill!Print_Area</vt:lpstr>
      <vt:lpstr>'COMP-14MU NAN'!Print_Area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dc:creator>
  <cp:lastModifiedBy>Admin</cp:lastModifiedBy>
  <cp:lastPrinted>2026-09-30T00:41:35Z</cp:lastPrinted>
  <dcterms:created xsi:type="dcterms:W3CDTF">1996-10-14T23:33:28Z</dcterms:created>
  <dcterms:modified xsi:type="dcterms:W3CDTF">2026-09-30T02:02:56Z</dcterms:modified>
</cp:coreProperties>
</file>