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defaultThemeVersion="124226"/>
  <mc:AlternateContent xmlns:mc="http://schemas.openxmlformats.org/markup-compatibility/2006">
    <mc:Choice Requires="x15">
      <x15ac:absPath xmlns:x15ac="http://schemas.microsoft.com/office/spreadsheetml/2010/11/ac" url="F:\VANRAJSINH\Personal\sample\source code\"/>
    </mc:Choice>
  </mc:AlternateContent>
  <xr:revisionPtr revIDLastSave="0" documentId="13_ncr:1_{BB3B1008-DAF4-45D0-9FA6-BD0F88831365}" xr6:coauthVersionLast="47" xr6:coauthVersionMax="47" xr10:uidLastSave="{00000000-0000-0000-0000-000000000000}"/>
  <bookViews>
    <workbookView xWindow="-108" yWindow="-108" windowWidth="23256" windowHeight="12456" activeTab="1" xr2:uid="{00000000-000D-0000-FFFF-FFFF00000000}"/>
  </bookViews>
  <sheets>
    <sheet name="FACE SHEET" sheetId="1" r:id="rId1"/>
    <sheet name="Abstract" sheetId="2" r:id="rId2"/>
    <sheet name="Measurement" sheetId="3" r:id="rId3"/>
    <sheet name="RA" sheetId="4" r:id="rId4"/>
    <sheet name="Lead" sheetId="5" r:id="rId5"/>
    <sheet name="Schedule" sheetId="6" r:id="rId6"/>
  </sheets>
  <externalReferences>
    <externalReference r:id="rId7"/>
  </externalReferences>
  <definedNames>
    <definedName name="_nmw1">[1]lead!$B$2</definedName>
    <definedName name="_xlnm.Print_Area" localSheetId="1">Abstract!$A$1:$F$34</definedName>
    <definedName name="_xlnm.Print_Area" localSheetId="0">'FACE SHEET'!$A$1:$I$40</definedName>
    <definedName name="_xlnm.Print_Area" localSheetId="4">Lead!$A$1:$H$42</definedName>
    <definedName name="_xlnm.Print_Area" localSheetId="2">Measurement!$A$1:$L$30</definedName>
    <definedName name="_xlnm.Print_Area" localSheetId="3">RA!$A$1:$I$39</definedName>
    <definedName name="_xlnm.Print_Area" localSheetId="5">Schedule!$A$1:$I$30</definedName>
    <definedName name="Z_D6DF09BD_97F5_4B8B_B461_A7BC9875A0D8_.wvu.PrintArea" localSheetId="1" hidden="1">Abstract!$A$1:$F$34</definedName>
    <definedName name="Z_D6DF09BD_97F5_4B8B_B461_A7BC9875A0D8_.wvu.PrintArea" localSheetId="0" hidden="1">'FACE SHEET'!$A$1:$I$40</definedName>
    <definedName name="Z_D6DF09BD_97F5_4B8B_B461_A7BC9875A0D8_.wvu.PrintArea" localSheetId="4" hidden="1">Lead!$A$1:$H$42</definedName>
    <definedName name="Z_D6DF09BD_97F5_4B8B_B461_A7BC9875A0D8_.wvu.PrintArea" localSheetId="2" hidden="1">Measurement!$A$1:$L$30</definedName>
    <definedName name="Z_D6DF09BD_97F5_4B8B_B461_A7BC9875A0D8_.wvu.PrintArea" localSheetId="3" hidden="1">RA!$A$1:$I$39</definedName>
    <definedName name="Z_D6DF09BD_97F5_4B8B_B461_A7BC9875A0D8_.wvu.PrintArea" localSheetId="5" hidden="1">Schedule!$A$1:$I$30</definedName>
    <definedName name="Z_D6DF09BD_97F5_4B8B_B461_A7BC9875A0D8_.wvu.Rows" localSheetId="1" hidden="1">Abstract!#REF!</definedName>
    <definedName name="Z_D6DF09BD_97F5_4B8B_B461_A7BC9875A0D8_.wvu.Rows" localSheetId="0" hidden="1">'FACE SHEET'!$20:$20</definedName>
    <definedName name="Z_D6DF09BD_97F5_4B8B_B461_A7BC9875A0D8_.wvu.Rows" localSheetId="2" hidden="1">Measurement!$20:$22</definedName>
  </definedNames>
  <calcPr calcId="191029"/>
  <customWorkbookViews>
    <customWorkbookView name="Admin - Personal View" guid="{D6DF09BD-97F5-4B8B-B461-A7BC9875A0D8}" mergeInterval="0" personalView="1" maximized="1" xWindow="-9" yWindow="-9" windowWidth="1938" windowHeight="1048"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2" l="1"/>
  <c r="A16" i="2"/>
  <c r="G6" i="2"/>
  <c r="A29" i="3"/>
  <c r="A26" i="3"/>
  <c r="K4" i="3"/>
  <c r="G24" i="3"/>
  <c r="E24" i="3"/>
  <c r="H39" i="1"/>
  <c r="C5" i="5" s="1"/>
  <c r="A6" i="5" s="1"/>
  <c r="H4" i="6"/>
  <c r="I4" i="6"/>
  <c r="D6" i="2" s="1"/>
  <c r="D7" i="2" s="1"/>
  <c r="C5" i="6"/>
  <c r="H5" i="6"/>
  <c r="I5" i="6" s="1"/>
  <c r="D8" i="2" s="1"/>
  <c r="D9" i="2" s="1"/>
  <c r="D7" i="5"/>
  <c r="D8" i="5" s="1"/>
  <c r="C4" i="6" s="1"/>
  <c r="A3" i="4"/>
  <c r="G10" i="4"/>
  <c r="G11" i="4"/>
  <c r="G14" i="4"/>
  <c r="D14" i="2" s="1"/>
  <c r="D15" i="2" s="1"/>
  <c r="G18" i="4"/>
  <c r="G19" i="4"/>
  <c r="G20" i="4"/>
  <c r="G21" i="4"/>
  <c r="G22" i="4"/>
  <c r="G23" i="4"/>
  <c r="G24" i="4"/>
  <c r="G25" i="4"/>
  <c r="G26" i="4"/>
  <c r="G27" i="4"/>
  <c r="G28" i="4"/>
  <c r="D16" i="2" s="1"/>
  <c r="A1" i="3"/>
  <c r="A1" i="4" s="1"/>
  <c r="E7" i="3"/>
  <c r="E21" i="3"/>
  <c r="A2" i="2"/>
  <c r="A1" i="5" s="1"/>
  <c r="B2" i="2"/>
  <c r="B1" i="5" s="1"/>
  <c r="C1" i="3"/>
  <c r="C4" i="2"/>
  <c r="E4" i="2"/>
  <c r="D5" i="2"/>
  <c r="B6" i="2"/>
  <c r="E6" i="2" s="1"/>
  <c r="C6" i="2"/>
  <c r="C8" i="2"/>
  <c r="E8" i="2"/>
  <c r="C10" i="2"/>
  <c r="E10" i="2"/>
  <c r="D11" i="2"/>
  <c r="C12" i="2"/>
  <c r="E12" i="2"/>
  <c r="D13" i="2"/>
  <c r="C14" i="2"/>
  <c r="E14" i="2"/>
  <c r="E16" i="2"/>
  <c r="E18" i="2"/>
  <c r="D19" i="2"/>
  <c r="F23" i="2"/>
  <c r="D30" i="1"/>
  <c r="F35" i="1"/>
  <c r="C1" i="4"/>
  <c r="C1" i="6"/>
  <c r="A1" i="6"/>
  <c r="F16" i="2" l="1"/>
  <c r="K24" i="3"/>
  <c r="A14" i="2" s="1"/>
  <c r="F14" i="2" s="1"/>
  <c r="F18" i="2"/>
  <c r="G21" i="3"/>
  <c r="K21" i="3" s="1"/>
  <c r="A4" i="2" l="1"/>
  <c r="F4" i="2" s="1"/>
  <c r="G7" i="3"/>
  <c r="K7" i="3" s="1"/>
  <c r="E8" i="3" l="1"/>
  <c r="K8" i="3" s="1"/>
  <c r="K9" i="3" s="1"/>
  <c r="G12" i="3" s="1"/>
  <c r="K12" i="3" l="1"/>
  <c r="K15" i="3"/>
  <c r="A10" i="2" s="1"/>
  <c r="F10" i="2" s="1"/>
  <c r="A6" i="2"/>
  <c r="F6" i="2" s="1"/>
  <c r="K18" i="3" l="1"/>
  <c r="A12" i="2" s="1"/>
  <c r="F12" i="2" s="1"/>
  <c r="A8" i="2"/>
  <c r="F8" i="2" s="1"/>
  <c r="F20" i="2" l="1"/>
  <c r="F21" i="2" s="1"/>
  <c r="F22" i="2" s="1"/>
</calcChain>
</file>

<file path=xl/sharedStrings.xml><?xml version="1.0" encoding="utf-8"?>
<sst xmlns="http://schemas.openxmlformats.org/spreadsheetml/2006/main" count="221" uniqueCount="145">
  <si>
    <t xml:space="preserve">Estimate checked by:  </t>
  </si>
  <si>
    <t>QTY.</t>
  </si>
  <si>
    <t>ITEM</t>
  </si>
  <si>
    <t>PER</t>
  </si>
  <si>
    <t>AMOUNT</t>
  </si>
  <si>
    <t>1. Division</t>
  </si>
  <si>
    <t>2. Sub-Division</t>
  </si>
  <si>
    <t>3. Sanctioned Estimate No:</t>
  </si>
  <si>
    <t>4. Fund Head:</t>
  </si>
  <si>
    <t>5. Major Head:</t>
  </si>
  <si>
    <t>6. Minor Head:</t>
  </si>
  <si>
    <t>7. Serviceable Head:</t>
  </si>
  <si>
    <t>8. Departmental Head:</t>
  </si>
  <si>
    <t xml:space="preserve"> Amounting to Rs.</t>
  </si>
  <si>
    <t xml:space="preserve">Administrative approval No.:   </t>
  </si>
  <si>
    <t xml:space="preserve"> Date :</t>
  </si>
  <si>
    <t>&amp; Technically sanctioned under No.:</t>
  </si>
  <si>
    <t xml:space="preserve"> Date:</t>
  </si>
  <si>
    <t>Call or Authority:</t>
  </si>
  <si>
    <t>LEAD CHART</t>
  </si>
  <si>
    <t>KM</t>
  </si>
  <si>
    <t>The Lead is Consider to be minimum and shortest motorable route</t>
  </si>
  <si>
    <t xml:space="preserve">MEASUREMENT  SHEET </t>
  </si>
  <si>
    <t>Amount</t>
  </si>
  <si>
    <t>Say</t>
  </si>
  <si>
    <t>Lead</t>
  </si>
  <si>
    <t>Total</t>
  </si>
  <si>
    <t>Estimate prepared by</t>
  </si>
  <si>
    <t>Sr No.</t>
  </si>
  <si>
    <t xml:space="preserve">Item </t>
  </si>
  <si>
    <t>Basic Rate</t>
  </si>
  <si>
    <t>Remaining Lead</t>
  </si>
  <si>
    <t xml:space="preserve">RATE ANALYSIS OF MATERIALS  </t>
  </si>
  <si>
    <t>(A)     For H.B. &amp; B.T. Metal</t>
  </si>
  <si>
    <t>(B) Soft Murum</t>
  </si>
  <si>
    <t xml:space="preserve">        Local</t>
  </si>
  <si>
    <t>Upto 5.0 KM</t>
  </si>
  <si>
    <t>RATE ANALYSIS</t>
  </si>
  <si>
    <t>(A)</t>
  </si>
  <si>
    <t>(B)</t>
  </si>
  <si>
    <t>x</t>
  </si>
  <si>
    <t>Total Qty. =</t>
  </si>
  <si>
    <t>Qty =</t>
  </si>
  <si>
    <t>Add for voids =</t>
  </si>
  <si>
    <t>Area covered =</t>
  </si>
  <si>
    <t>Smt</t>
  </si>
  <si>
    <t>SOR RATE INCL.1% LABOUR CESS</t>
  </si>
  <si>
    <t>UNIT</t>
  </si>
  <si>
    <t>No</t>
  </si>
  <si>
    <t>Above 40 mm</t>
  </si>
  <si>
    <t>For remaining lead Total lead  above 5 to  10</t>
  </si>
  <si>
    <t>For remaining lead  Total lead above 10  up to 15</t>
  </si>
  <si>
    <t>For remaining lead  Total lead above 15  up to 25</t>
  </si>
  <si>
    <t>For remaining lead  Total lead above 25  up to 50</t>
  </si>
  <si>
    <t>For remaining lead  Total lead above 50 up to 100</t>
  </si>
  <si>
    <t>PLAN</t>
  </si>
  <si>
    <t>W= 3.00 MT</t>
  </si>
  <si>
    <t>CC 10 CM THICK</t>
  </si>
  <si>
    <t>BT METAL
40 TO 63 MM</t>
  </si>
  <si>
    <t>SECTION OF ROAD</t>
  </si>
  <si>
    <t>GENERAL DESCRIPTION</t>
  </si>
  <si>
    <t>Soft Murum</t>
  </si>
  <si>
    <t>ABSTRACT SHEET</t>
  </si>
  <si>
    <t>SAY RS.</t>
  </si>
  <si>
    <t>(R.A)</t>
  </si>
  <si>
    <t xml:space="preserve"> (R.A) </t>
  </si>
  <si>
    <t>25 % Qty. of Item:- 2 =</t>
  </si>
  <si>
    <t>=</t>
  </si>
  <si>
    <t>Item No. 5 :-  Spreading blindage or road crust filling the  gaps in metal and levelling to gradient  and camber as directed (i) Murrum</t>
  </si>
  <si>
    <t xml:space="preserve">Item No. 6 :- Rolling and consolidation water bound macadam (Except laterite and kankar) including watering not excceding 150 mm thickness ( main layer including binding  matenals) including filling in  depressions which occurs during the process (B) With power roller excceding 8 tonne and not excecding 12 tonne. </t>
  </si>
  <si>
    <t>A.A.E.</t>
  </si>
  <si>
    <t>Cmt</t>
  </si>
  <si>
    <t>Qty same as Item No :- 2</t>
  </si>
  <si>
    <t>Qty same as Item No :- 3</t>
  </si>
  <si>
    <t xml:space="preserve">Item No.1 :- Box cutting the road surface to proper slope and camber for making a base for road work including removing the excavated stuff and depositing on the road side slope as deirected up to 50 m. lead. </t>
  </si>
  <si>
    <t>X</t>
  </si>
  <si>
    <t xml:space="preserve"> </t>
  </si>
  <si>
    <t xml:space="preserve">Item No. :- 4 Spreading the stone aggregates for soiling and W. B. M. including filling the inter stices forming the surface to required camber and gradient (excluding spreading of blindage) (ii) 40 mm to 63 mm size aggreates (HB) </t>
  </si>
  <si>
    <t>SR. NO.</t>
  </si>
  <si>
    <t>ADD. ASST. ENGINEER</t>
  </si>
  <si>
    <t>TALUKA PANCHAYAT KACHERI</t>
  </si>
  <si>
    <t>THASRA</t>
  </si>
  <si>
    <t>કામ નું નામ :</t>
  </si>
  <si>
    <t xml:space="preserve">Item No. :- 6 Providing and Laying Ordinary Ciment Concrete 1:2:4 exposed work with  Curing etc. Complete including compacting with surface mechanical vibrator,mechanical loater, channaling, from work, grooving, excluding cost of reinforcement for R.C.C work  . </t>
  </si>
  <si>
    <t>AS PER RA</t>
  </si>
  <si>
    <t xml:space="preserve">S.O.R Rate of R.C.C. 1:2:4 </t>
  </si>
  <si>
    <t>Rs./ Cmt</t>
  </si>
  <si>
    <t>(R &amp; B Sor P. 80 It.C. No:- 05010AA  I No 5.3.13)</t>
  </si>
  <si>
    <t>For Vaccume dewatering System including using vaccume dewatering Machine, mechenical vibrator, mechenical flotter and mechenical trovel tor finishing</t>
  </si>
  <si>
    <t>Rate for this Item is Rs. 125/SQ.M for 0.10 m Th R.C.C.</t>
  </si>
  <si>
    <t>1 Cum will cover 10 Sq.M Area</t>
  </si>
  <si>
    <t>Rate of 1 Cu.M</t>
  </si>
  <si>
    <t>Total of A+B</t>
  </si>
  <si>
    <t>Rate of RCC Trimix Road in (1:2:4)</t>
  </si>
  <si>
    <t>Sr. No</t>
  </si>
  <si>
    <t>Item</t>
  </si>
  <si>
    <t>No of testing required</t>
  </si>
  <si>
    <t>Approved Rate</t>
  </si>
  <si>
    <t>Bricks</t>
  </si>
  <si>
    <t>Sand</t>
  </si>
  <si>
    <t>Cement</t>
  </si>
  <si>
    <t>Cube</t>
  </si>
  <si>
    <t>B.T.Kapchi</t>
  </si>
  <si>
    <t>Metal</t>
  </si>
  <si>
    <t>Paving Blocks</t>
  </si>
  <si>
    <t>Steel</t>
  </si>
  <si>
    <t xml:space="preserve">Gutter Pipe </t>
  </si>
  <si>
    <t>Pipe Line</t>
  </si>
  <si>
    <t>Item No :- 7 Testing charges for Kapchi,Metal,Sand,Cement,C.C. Cube as per schedule of testing</t>
  </si>
  <si>
    <t>AS PER SCHEDULE OF TESTING</t>
  </si>
  <si>
    <t xml:space="preserve">Item No.2 :- Supplying of crsuhed stone aggregate,chipping etc. of hard stones of following nominal size free of disintegrated pieces deletarious and organic mater </t>
  </si>
  <si>
    <t xml:space="preserve">Item No.3 :-  Supplying of crsuhed stone aggregate,chipping etc. of hard stones of following nominal size free of disintegrated pieces deletarious and organic mater </t>
  </si>
  <si>
    <t>Soft Murum  ( R&amp;B SOR 2024-25 26016A 26.13 Page 164)</t>
  </si>
  <si>
    <t>B.T.Metal 40 to 63 mm R&amp;B SOR 2024-25 26012A 26.50 Page 163</t>
  </si>
  <si>
    <t xml:space="preserve"> ITEM NO. 26.2 ITEM CODE 26018A Page No- 165</t>
  </si>
  <si>
    <t>ITEM NO. 26.23 ITEM CODE 26020A Page No- 165</t>
  </si>
  <si>
    <t>ITEM NO. 0 ITEM CODE 26087 Page No- 172</t>
  </si>
  <si>
    <t>ITEM NO. 0 ITEM CODE 26008+26010A Page No:- 162,163</t>
  </si>
  <si>
    <t>મોજે -</t>
  </si>
  <si>
    <t xml:space="preserve">મુકામે </t>
  </si>
  <si>
    <t>ADD 18% GST</t>
  </si>
  <si>
    <t>ધારા ફંડ વર્ષ ૨૦૨૫-૨૬.</t>
  </si>
  <si>
    <t>MR.V.A.THAKOR. A.A.E.</t>
  </si>
  <si>
    <t>જઅમ/ધા.ફં/પ્રા.મં/૬(૧)/૨૫-૨૬/વશી/૨૧૭-૧૯/૨૫. તા. ૧૭/૦૭/૨૦૨૫.</t>
  </si>
  <si>
    <t xml:space="preserve">ગોળજ ગામે ઉનાળીયા ચેરમેનના ઘર થી ખૂટતા સી.સી. રસ્તાનું કામ . </t>
  </si>
  <si>
    <t>ગોળજ</t>
  </si>
  <si>
    <t>ESTIMATE</t>
  </si>
  <si>
    <t>R &amp; B (P) DIVISON</t>
  </si>
  <si>
    <t>NADIAD</t>
  </si>
  <si>
    <t xml:space="preserve">KHEDA </t>
  </si>
  <si>
    <t>JILLA PANCHAYAT.</t>
  </si>
  <si>
    <t>R &amp; B (P) SUB DIV.</t>
  </si>
  <si>
    <t>DAKOR</t>
  </si>
  <si>
    <t>DEE ATVT PRANT OFFICE</t>
  </si>
  <si>
    <t>NANI SINCHAI OFFICE</t>
  </si>
  <si>
    <t xml:space="preserve"> યોજના હેઠળ સુચીત સી.સી. રસ્તાના  કામ માટે ગ્રાન્ટ ની ફાળવણી કરેલ છે. ગામની કુલ વસ્તી આશરે .......... છે.આ કામ ઉપરોકત યોજનમાં મંજુર થયેલ છે.આ અંદાજપત્રકમાં બોક્સ કટિંગ, બીટી મેટલ ૪૦ થી ૬૩ મીમી, મુરમ, સી સી ૧:૨:૪, રોલિંગ તકતીની આઈટમ નો સમાવેશ કરી ચાલુ વર્ષ ના માર્ગ અને મકાન ના એ.ઓં.આર ભાવ લઇ અંદાજ તૈયાર કરેલ છે. </t>
  </si>
  <si>
    <t>Taluka Panchayat</t>
  </si>
  <si>
    <t>Thasra</t>
  </si>
  <si>
    <t>Estimate framed in the office of the Taluka Development Officer, Taluka Panchayat,</t>
  </si>
  <si>
    <t>for the expense that will be incurred in the work of…</t>
  </si>
  <si>
    <t>SCHEDULE OF TESTING</t>
  </si>
  <si>
    <t xml:space="preserve">to </t>
  </si>
  <si>
    <t>site of work</t>
  </si>
  <si>
    <t xml:space="preserve">Sevaliya </t>
  </si>
  <si>
    <t xml:space="preserve">Item No :- 8 Providing and fixing number plate of marble stone of required size set in C. M. 1 : 4 including finishing and engraving letters etc. complete.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</si>
</sst>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_(* #,##0_);_(* \(#,##0\);_(* &quot;-&quot;??_);_(@_)"/>
    <numFmt numFmtId="166" formatCode="[$-7000447]0"/>
  </numFmts>
  <fonts count="56">
    <font>
      <sz val="10"/>
      <name val="Arial"/>
    </font>
    <font>
      <sz val="10"/>
      <name val="Arial"/>
      <family val="2"/>
    </font>
    <font>
      <sz val="10"/>
      <name val="Times New Roman"/>
      <family val="1"/>
    </font>
    <font>
      <sz val="8"/>
      <name val="Arial"/>
      <family val="2"/>
    </font>
    <font>
      <sz val="12"/>
      <color indexed="12"/>
      <name val="Times New Roman"/>
      <family val="1"/>
    </font>
    <font>
      <b/>
      <sz val="14"/>
      <color indexed="12"/>
      <name val="Times New Roman"/>
      <family val="1"/>
    </font>
    <font>
      <b/>
      <sz val="16"/>
      <color indexed="12"/>
      <name val="Times New Roman"/>
      <family val="1"/>
    </font>
    <font>
      <sz val="10"/>
      <color indexed="12"/>
      <name val="Arial"/>
      <family val="2"/>
    </font>
    <font>
      <b/>
      <sz val="10"/>
      <color indexed="12"/>
      <name val="Arial"/>
      <family val="2"/>
    </font>
    <font>
      <sz val="10"/>
      <color indexed="12"/>
      <name val="Times New Roman"/>
      <family val="1"/>
    </font>
    <font>
      <sz val="12"/>
      <color indexed="12"/>
      <name val="Arial"/>
      <family val="2"/>
    </font>
    <font>
      <b/>
      <sz val="10"/>
      <color indexed="12"/>
      <name val="Times New Roman"/>
      <family val="1"/>
    </font>
    <font>
      <sz val="11"/>
      <color indexed="8"/>
      <name val="Arial"/>
      <family val="2"/>
    </font>
    <font>
      <sz val="10"/>
      <color indexed="8"/>
      <name val="Arial"/>
      <family val="2"/>
    </font>
    <font>
      <sz val="12"/>
      <color indexed="8"/>
      <name val="Arial"/>
      <family val="2"/>
    </font>
    <font>
      <b/>
      <sz val="12"/>
      <color indexed="8"/>
      <name val="Arial"/>
      <family val="2"/>
    </font>
    <font>
      <sz val="10"/>
      <color indexed="8"/>
      <name val="Arial"/>
      <family val="2"/>
    </font>
    <font>
      <sz val="10"/>
      <name val="Arial"/>
      <family val="2"/>
    </font>
    <font>
      <sz val="12"/>
      <name val="Arial"/>
      <family val="2"/>
    </font>
    <font>
      <sz val="10"/>
      <name val="Arial"/>
      <family val="2"/>
    </font>
    <font>
      <sz val="12"/>
      <color indexed="8"/>
      <name val="Arial"/>
      <family val="2"/>
    </font>
    <font>
      <sz val="12"/>
      <color indexed="12"/>
      <name val="Arial"/>
      <family val="2"/>
    </font>
    <font>
      <sz val="11"/>
      <color indexed="12"/>
      <name val="Times New Roman"/>
      <family val="1"/>
    </font>
    <font>
      <b/>
      <sz val="11"/>
      <color indexed="12"/>
      <name val="Times New Roman"/>
      <family val="1"/>
    </font>
    <font>
      <b/>
      <sz val="10"/>
      <name val="Arial"/>
      <family val="2"/>
    </font>
    <font>
      <b/>
      <u/>
      <sz val="18"/>
      <color indexed="8"/>
      <name val="Arial"/>
      <family val="2"/>
    </font>
    <font>
      <b/>
      <sz val="12"/>
      <color indexed="12"/>
      <name val="Times New Roman"/>
      <family val="1"/>
    </font>
    <font>
      <sz val="14"/>
      <color indexed="8"/>
      <name val="LMG ARUN "/>
    </font>
    <font>
      <sz val="12"/>
      <color theme="9" tint="-0.249977111117893"/>
      <name val="Arial"/>
      <family val="2"/>
    </font>
    <font>
      <sz val="10"/>
      <color theme="9" tint="-0.249977111117893"/>
      <name val="Arial"/>
      <family val="2"/>
    </font>
    <font>
      <sz val="14"/>
      <color theme="9" tint="-0.249977111117893"/>
      <name val="Arial Unicode MS"/>
      <family val="2"/>
    </font>
    <font>
      <b/>
      <sz val="12"/>
      <color theme="9" tint="-0.249977111117893"/>
      <name val="Arial"/>
      <family val="2"/>
    </font>
    <font>
      <sz val="10"/>
      <color theme="8"/>
      <name val="Arial"/>
      <family val="2"/>
    </font>
    <font>
      <b/>
      <sz val="12"/>
      <color theme="8"/>
      <name val="Arial"/>
      <family val="2"/>
    </font>
    <font>
      <sz val="14"/>
      <color theme="8"/>
      <name val="Arial Unicode MS"/>
      <family val="2"/>
    </font>
    <font>
      <sz val="14"/>
      <color theme="9"/>
      <name val="Arial"/>
      <family val="2"/>
    </font>
    <font>
      <b/>
      <sz val="12"/>
      <color theme="9"/>
      <name val="Arial"/>
      <family val="2"/>
    </font>
    <font>
      <b/>
      <sz val="11"/>
      <color theme="9"/>
      <name val="Arial"/>
      <family val="2"/>
    </font>
    <font>
      <sz val="12"/>
      <color theme="9"/>
      <name val="Arial"/>
      <family val="2"/>
    </font>
    <font>
      <sz val="11"/>
      <color theme="9"/>
      <name val="Arial"/>
      <family val="2"/>
    </font>
    <font>
      <sz val="12"/>
      <color theme="8"/>
      <name val="Arial"/>
      <family val="2"/>
    </font>
    <font>
      <sz val="10"/>
      <color theme="9"/>
      <name val="Arial"/>
      <family val="2"/>
    </font>
    <font>
      <sz val="16"/>
      <color theme="9"/>
      <name val="Arial"/>
      <family val="2"/>
    </font>
    <font>
      <b/>
      <sz val="10"/>
      <color theme="9"/>
      <name val="Arial"/>
      <family val="2"/>
    </font>
    <font>
      <sz val="14"/>
      <color theme="9" tint="-0.249977111117893"/>
      <name val="અરુણ"/>
    </font>
    <font>
      <sz val="11"/>
      <color theme="9" tint="-0.249977111117893"/>
      <name val="Arial"/>
      <family val="2"/>
    </font>
    <font>
      <b/>
      <u/>
      <sz val="12"/>
      <color theme="9" tint="-0.249977111117893"/>
      <name val="Arial"/>
      <family val="2"/>
    </font>
    <font>
      <sz val="14"/>
      <color theme="9" tint="-0.249977111117893"/>
      <name val="Arial"/>
      <family val="2"/>
    </font>
    <font>
      <b/>
      <u/>
      <sz val="16"/>
      <color theme="9"/>
      <name val="Arial"/>
      <family val="2"/>
    </font>
    <font>
      <b/>
      <u/>
      <sz val="14"/>
      <color theme="9"/>
      <name val="Arial"/>
      <family val="2"/>
    </font>
    <font>
      <sz val="14"/>
      <color theme="9"/>
      <name val="ARrun"/>
    </font>
    <font>
      <sz val="8"/>
      <color theme="9"/>
      <name val="Arial"/>
      <family val="2"/>
    </font>
    <font>
      <u/>
      <sz val="10"/>
      <color theme="9"/>
      <name val="Arial"/>
      <family val="2"/>
    </font>
    <font>
      <u/>
      <sz val="8"/>
      <color theme="9"/>
      <name val="Arial"/>
      <family val="2"/>
    </font>
    <font>
      <sz val="16"/>
      <color theme="8"/>
      <name val="Arial Unicode MS"/>
      <family val="2"/>
    </font>
    <font>
      <b/>
      <sz val="16"/>
      <color theme="9"/>
      <name val="Arial"/>
      <family val="2"/>
    </font>
  </fonts>
  <fills count="2">
    <fill>
      <patternFill patternType="none"/>
    </fill>
    <fill>
      <patternFill patternType="gray125"/>
    </fill>
  </fills>
  <borders count="31">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0" fontId="17" fillId="0" borderId="0"/>
    <xf numFmtId="0" fontId="2" fillId="0" borderId="0"/>
  </cellStyleXfs>
  <cellXfs count="386">
    <xf numFmtId="0" fontId="0" fillId="0" borderId="0" xfId="0"/>
    <xf numFmtId="0" fontId="11" fillId="0" borderId="0" xfId="0" applyFont="1" applyAlignment="1" applyProtection="1">
      <alignment horizontal="center" vertical="center" wrapText="1"/>
      <protection locked="0"/>
    </xf>
    <xf numFmtId="0" fontId="26" fillId="0" borderId="0" xfId="0" applyFont="1" applyAlignment="1" applyProtection="1">
      <alignment vertical="center" wrapText="1"/>
      <protection locked="0"/>
    </xf>
    <xf numFmtId="0" fontId="7" fillId="0" borderId="0" xfId="0" applyFont="1" applyProtection="1">
      <protection locked="0"/>
    </xf>
    <xf numFmtId="0" fontId="7" fillId="0" borderId="1" xfId="0" applyFont="1" applyBorder="1" applyProtection="1">
      <protection locked="0"/>
    </xf>
    <xf numFmtId="0" fontId="7" fillId="0" borderId="2" xfId="0" applyFont="1" applyBorder="1" applyProtection="1">
      <protection locked="0"/>
    </xf>
    <xf numFmtId="0" fontId="20" fillId="0" borderId="0" xfId="0" applyFont="1" applyProtection="1">
      <protection locked="0"/>
    </xf>
    <xf numFmtId="0" fontId="20" fillId="0" borderId="2" xfId="0" applyFont="1" applyBorder="1" applyProtection="1">
      <protection locked="0"/>
    </xf>
    <xf numFmtId="0" fontId="24" fillId="0" borderId="3" xfId="0" applyFont="1" applyBorder="1" applyAlignment="1" applyProtection="1">
      <alignment vertical="center"/>
      <protection locked="0"/>
    </xf>
    <xf numFmtId="0" fontId="20" fillId="0" borderId="1" xfId="0" applyFont="1" applyBorder="1" applyAlignment="1" applyProtection="1">
      <alignment horizontal="left" indent="1"/>
      <protection locked="0"/>
    </xf>
    <xf numFmtId="0" fontId="20" fillId="0" borderId="0" xfId="0" applyFont="1" applyAlignment="1" applyProtection="1">
      <alignment horizontal="left"/>
      <protection locked="0"/>
    </xf>
    <xf numFmtId="0" fontId="15" fillId="0" borderId="2" xfId="0" applyFont="1" applyBorder="1" applyProtection="1">
      <protection locked="0"/>
    </xf>
    <xf numFmtId="0" fontId="20" fillId="0" borderId="1" xfId="0" applyFont="1" applyBorder="1" applyProtection="1">
      <protection locked="0"/>
    </xf>
    <xf numFmtId="0" fontId="20" fillId="0" borderId="0" xfId="0" applyFont="1" applyAlignment="1" applyProtection="1">
      <alignment wrapText="1"/>
      <protection locked="0"/>
    </xf>
    <xf numFmtId="2" fontId="20" fillId="0" borderId="2" xfId="3" applyNumberFormat="1" applyFont="1" applyBorder="1" applyAlignment="1" applyProtection="1">
      <alignment vertical="top"/>
      <protection locked="0"/>
    </xf>
    <xf numFmtId="0" fontId="7" fillId="0" borderId="4" xfId="0" applyFont="1" applyBorder="1" applyProtection="1">
      <protection locked="0"/>
    </xf>
    <xf numFmtId="0" fontId="7" fillId="0" borderId="5" xfId="0" applyFont="1" applyBorder="1" applyProtection="1">
      <protection locked="0"/>
    </xf>
    <xf numFmtId="0" fontId="20" fillId="0" borderId="5" xfId="0" applyFont="1" applyBorder="1" applyProtection="1">
      <protection locked="0"/>
    </xf>
    <xf numFmtId="2" fontId="20" fillId="0" borderId="6" xfId="3" applyNumberFormat="1" applyFont="1" applyBorder="1" applyAlignment="1" applyProtection="1">
      <alignment vertical="top"/>
      <protection locked="0"/>
    </xf>
    <xf numFmtId="0" fontId="16" fillId="0" borderId="0" xfId="0" applyFont="1" applyProtection="1">
      <protection locked="0"/>
    </xf>
    <xf numFmtId="0" fontId="28" fillId="0" borderId="1" xfId="0" applyFont="1" applyBorder="1" applyAlignment="1">
      <alignment horizontal="left" indent="1"/>
    </xf>
    <xf numFmtId="0" fontId="28" fillId="0" borderId="0" xfId="0" applyFont="1" applyAlignment="1">
      <alignment horizontal="left"/>
    </xf>
    <xf numFmtId="0" fontId="29" fillId="0" borderId="0" xfId="0" applyFont="1"/>
    <xf numFmtId="0" fontId="7" fillId="0" borderId="0" xfId="0" applyFont="1"/>
    <xf numFmtId="0" fontId="20" fillId="0" borderId="0" xfId="0" applyFont="1" applyAlignment="1">
      <alignment horizontal="left" indent="1"/>
    </xf>
    <xf numFmtId="0" fontId="20" fillId="0" borderId="0" xfId="0" applyFont="1"/>
    <xf numFmtId="0" fontId="28" fillId="0" borderId="1" xfId="0" applyFont="1" applyBorder="1"/>
    <xf numFmtId="0" fontId="28" fillId="0" borderId="0" xfId="0" applyFont="1"/>
    <xf numFmtId="0" fontId="30" fillId="0" borderId="7" xfId="0" applyFont="1" applyBorder="1" applyAlignment="1">
      <alignment horizontal="center" vertical="center"/>
    </xf>
    <xf numFmtId="2" fontId="31" fillId="0" borderId="0" xfId="3" applyNumberFormat="1" applyFont="1" applyAlignment="1">
      <alignment vertical="top"/>
    </xf>
    <xf numFmtId="0" fontId="32" fillId="0" borderId="0" xfId="0" applyFont="1" applyProtection="1">
      <protection locked="0"/>
    </xf>
    <xf numFmtId="166" fontId="34" fillId="0" borderId="8" xfId="0" applyNumberFormat="1" applyFont="1" applyBorder="1" applyAlignment="1" applyProtection="1">
      <alignment horizontal="center" vertical="center"/>
      <protection locked="0"/>
    </xf>
    <xf numFmtId="0" fontId="7" fillId="0" borderId="0" xfId="0" applyFont="1" applyAlignment="1" applyProtection="1">
      <alignment vertical="center" wrapText="1"/>
      <protection locked="0"/>
    </xf>
    <xf numFmtId="0" fontId="7" fillId="0" borderId="0" xfId="0" applyFont="1" applyAlignment="1" applyProtection="1">
      <alignment vertical="center"/>
      <protection locked="0"/>
    </xf>
    <xf numFmtId="2" fontId="33" fillId="0" borderId="0" xfId="3" applyNumberFormat="1" applyFont="1" applyAlignment="1" applyProtection="1">
      <alignment vertical="top"/>
      <protection locked="0"/>
    </xf>
    <xf numFmtId="0" fontId="30" fillId="0" borderId="8" xfId="0" applyFont="1" applyBorder="1" applyAlignment="1">
      <alignment horizontal="center" vertical="center" wrapText="1"/>
    </xf>
    <xf numFmtId="0" fontId="6" fillId="0" borderId="0" xfId="0" applyFont="1" applyAlignment="1" applyProtection="1">
      <alignment horizontal="center" vertical="top"/>
      <protection locked="0"/>
    </xf>
    <xf numFmtId="0" fontId="4" fillId="0" borderId="0" xfId="0" applyFont="1" applyProtection="1">
      <protection locked="0"/>
    </xf>
    <xf numFmtId="0" fontId="4" fillId="0" borderId="0" xfId="0" applyFont="1" applyAlignment="1" applyProtection="1">
      <alignment horizontal="left" vertical="top" wrapText="1"/>
      <protection locked="0"/>
    </xf>
    <xf numFmtId="2" fontId="4" fillId="0" borderId="0" xfId="0" applyNumberFormat="1" applyFont="1" applyAlignment="1" applyProtection="1">
      <alignment horizontal="left" vertical="top" wrapText="1"/>
      <protection locked="0"/>
    </xf>
    <xf numFmtId="0" fontId="9" fillId="0" borderId="0" xfId="0" applyFont="1" applyAlignment="1" applyProtection="1">
      <alignment vertical="top" wrapText="1"/>
      <protection locked="0"/>
    </xf>
    <xf numFmtId="0" fontId="20" fillId="0" borderId="0" xfId="0" applyFont="1" applyAlignment="1" applyProtection="1">
      <alignment horizontal="right" vertical="center" wrapText="1"/>
      <protection locked="0"/>
    </xf>
    <xf numFmtId="2" fontId="20" fillId="0" borderId="3" xfId="1" applyNumberFormat="1" applyFont="1" applyBorder="1" applyAlignment="1" applyProtection="1">
      <alignment horizontal="right" vertical="center" wrapText="1"/>
      <protection locked="0"/>
    </xf>
    <xf numFmtId="0" fontId="9" fillId="0" borderId="0" xfId="0" applyFont="1" applyAlignment="1" applyProtection="1">
      <alignment vertical="center" wrapText="1"/>
      <protection locked="0"/>
    </xf>
    <xf numFmtId="2" fontId="14" fillId="0" borderId="3" xfId="1" applyNumberFormat="1" applyFont="1" applyBorder="1" applyAlignment="1" applyProtection="1">
      <alignment horizontal="right" vertical="center" wrapText="1"/>
      <protection locked="0"/>
    </xf>
    <xf numFmtId="0" fontId="20" fillId="0" borderId="9" xfId="0" applyFont="1" applyBorder="1" applyAlignment="1" applyProtection="1">
      <alignment horizontal="center" vertical="center" wrapText="1"/>
      <protection locked="0"/>
    </xf>
    <xf numFmtId="43" fontId="20" fillId="0" borderId="9" xfId="1" applyFont="1" applyBorder="1" applyAlignment="1" applyProtection="1">
      <alignment horizontal="center" vertical="top" wrapText="1"/>
      <protection locked="0"/>
    </xf>
    <xf numFmtId="43" fontId="20" fillId="0" borderId="0" xfId="1" applyFont="1" applyBorder="1" applyAlignment="1" applyProtection="1">
      <alignment horizontal="center" vertical="top" wrapText="1"/>
      <protection locked="0"/>
    </xf>
    <xf numFmtId="0" fontId="20" fillId="0" borderId="0" xfId="0" applyFont="1" applyAlignment="1" applyProtection="1">
      <alignment vertical="top" wrapText="1"/>
      <protection locked="0"/>
    </xf>
    <xf numFmtId="43" fontId="20" fillId="0" borderId="0" xfId="1" applyFont="1" applyBorder="1" applyAlignment="1" applyProtection="1">
      <alignment horizontal="center" wrapText="1"/>
      <protection locked="0"/>
    </xf>
    <xf numFmtId="0" fontId="20" fillId="0" borderId="0" xfId="0" applyFont="1" applyAlignment="1" applyProtection="1">
      <alignment horizontal="center" wrapText="1"/>
      <protection locked="0"/>
    </xf>
    <xf numFmtId="43" fontId="20" fillId="0" borderId="3" xfId="1" applyFont="1" applyBorder="1" applyAlignment="1" applyProtection="1">
      <alignment horizontal="center" wrapText="1"/>
      <protection locked="0"/>
    </xf>
    <xf numFmtId="0" fontId="4" fillId="0" borderId="0" xfId="0" applyFont="1" applyAlignment="1" applyProtection="1">
      <alignment vertical="top" wrapText="1"/>
      <protection locked="0"/>
    </xf>
    <xf numFmtId="2" fontId="20" fillId="0" borderId="0" xfId="3" applyNumberFormat="1" applyFont="1" applyAlignment="1" applyProtection="1">
      <alignment vertical="top"/>
      <protection locked="0"/>
    </xf>
    <xf numFmtId="2" fontId="20" fillId="0" borderId="3" xfId="3" applyNumberFormat="1" applyFont="1" applyBorder="1" applyAlignment="1" applyProtection="1">
      <alignment vertical="top"/>
      <protection locked="0"/>
    </xf>
    <xf numFmtId="2" fontId="12" fillId="0" borderId="0" xfId="3" applyNumberFormat="1" applyFont="1" applyAlignment="1" applyProtection="1">
      <alignment vertical="top"/>
      <protection locked="0"/>
    </xf>
    <xf numFmtId="2" fontId="14" fillId="0" borderId="0" xfId="3" applyNumberFormat="1" applyFont="1" applyAlignment="1" applyProtection="1">
      <alignment vertical="top"/>
      <protection locked="0"/>
    </xf>
    <xf numFmtId="43" fontId="22" fillId="0" borderId="9" xfId="1" applyFont="1" applyBorder="1" applyAlignment="1" applyProtection="1">
      <alignment horizontal="center" vertical="top" wrapText="1"/>
      <protection locked="0"/>
    </xf>
    <xf numFmtId="43" fontId="22" fillId="0" borderId="0" xfId="1" applyFont="1" applyBorder="1" applyAlignment="1" applyProtection="1">
      <alignment horizontal="center" vertical="top" wrapText="1"/>
      <protection locked="0"/>
    </xf>
    <xf numFmtId="0" fontId="22" fillId="0" borderId="0" xfId="0" applyFont="1" applyProtection="1">
      <protection locked="0"/>
    </xf>
    <xf numFmtId="43" fontId="23" fillId="0" borderId="0" xfId="1" applyFont="1" applyBorder="1" applyAlignment="1" applyProtection="1">
      <alignment horizontal="center"/>
      <protection locked="0"/>
    </xf>
    <xf numFmtId="43" fontId="22" fillId="0" borderId="3" xfId="1" applyFont="1" applyBorder="1" applyProtection="1">
      <protection locked="0"/>
    </xf>
    <xf numFmtId="0" fontId="5" fillId="0" borderId="0" xfId="0" applyFont="1" applyAlignment="1" applyProtection="1">
      <alignment horizontal="center"/>
      <protection locked="0"/>
    </xf>
    <xf numFmtId="0" fontId="22" fillId="0" borderId="0" xfId="0" applyFont="1" applyAlignment="1" applyProtection="1">
      <alignment vertical="top" wrapText="1"/>
      <protection locked="0"/>
    </xf>
    <xf numFmtId="43" fontId="22" fillId="0" borderId="0" xfId="1" applyFont="1" applyBorder="1" applyAlignment="1" applyProtection="1">
      <alignment horizontal="center" wrapText="1"/>
      <protection locked="0"/>
    </xf>
    <xf numFmtId="0" fontId="23" fillId="0" borderId="0" xfId="0" applyFont="1" applyAlignment="1" applyProtection="1">
      <alignment horizontal="center" wrapText="1"/>
      <protection locked="0"/>
    </xf>
    <xf numFmtId="43" fontId="23" fillId="0" borderId="3" xfId="1" applyFont="1" applyBorder="1" applyAlignment="1" applyProtection="1">
      <alignment horizontal="center" wrapText="1"/>
      <protection locked="0"/>
    </xf>
    <xf numFmtId="43" fontId="22" fillId="0" borderId="10" xfId="1" applyFont="1" applyBorder="1" applyAlignment="1" applyProtection="1">
      <alignment horizontal="center" vertical="top" wrapText="1"/>
      <protection locked="0"/>
    </xf>
    <xf numFmtId="43" fontId="22" fillId="0" borderId="11" xfId="1" applyFont="1" applyBorder="1" applyAlignment="1" applyProtection="1">
      <alignment horizontal="center" vertical="top" wrapText="1"/>
      <protection locked="0"/>
    </xf>
    <xf numFmtId="0" fontId="22" fillId="0" borderId="11" xfId="0" applyFont="1" applyBorder="1" applyAlignment="1" applyProtection="1">
      <alignment vertical="top" wrapText="1"/>
      <protection locked="0"/>
    </xf>
    <xf numFmtId="43" fontId="22" fillId="0" borderId="0" xfId="1" applyFont="1" applyAlignment="1" applyProtection="1">
      <alignment horizontal="center" vertical="top" wrapText="1"/>
      <protection locked="0"/>
    </xf>
    <xf numFmtId="43" fontId="22" fillId="0" borderId="0" xfId="1" applyFont="1" applyAlignment="1" applyProtection="1">
      <alignment horizontal="center" wrapText="1"/>
      <protection locked="0"/>
    </xf>
    <xf numFmtId="0" fontId="22" fillId="0" borderId="0" xfId="0" applyFont="1" applyAlignment="1" applyProtection="1">
      <alignment horizontal="center" wrapText="1"/>
      <protection locked="0"/>
    </xf>
    <xf numFmtId="43" fontId="22" fillId="0" borderId="0" xfId="1" applyFont="1" applyAlignment="1" applyProtection="1">
      <alignment horizontal="center" vertical="top"/>
      <protection locked="0"/>
    </xf>
    <xf numFmtId="43" fontId="22" fillId="0" borderId="0" xfId="1" applyFont="1" applyAlignment="1" applyProtection="1">
      <alignment horizontal="center"/>
      <protection locked="0"/>
    </xf>
    <xf numFmtId="0" fontId="22" fillId="0" borderId="0" xfId="0" applyFont="1" applyAlignment="1" applyProtection="1">
      <alignment horizontal="center"/>
      <protection locked="0"/>
    </xf>
    <xf numFmtId="43" fontId="4" fillId="0" borderId="0" xfId="1" applyFont="1" applyAlignment="1" applyProtection="1">
      <alignment horizontal="center" vertical="top"/>
      <protection locked="0"/>
    </xf>
    <xf numFmtId="43" fontId="4" fillId="0" borderId="0" xfId="1" applyFont="1" applyAlignment="1" applyProtection="1">
      <alignment horizontal="center"/>
      <protection locked="0"/>
    </xf>
    <xf numFmtId="0" fontId="4" fillId="0" borderId="0" xfId="0" applyFont="1" applyAlignment="1" applyProtection="1">
      <alignment horizontal="center"/>
      <protection locked="0"/>
    </xf>
    <xf numFmtId="43" fontId="4" fillId="0" borderId="0" xfId="1" applyFont="1" applyAlignment="1" applyProtection="1">
      <alignment vertical="top"/>
      <protection locked="0"/>
    </xf>
    <xf numFmtId="43" fontId="4" fillId="0" borderId="0" xfId="1" applyFont="1" applyProtection="1">
      <protection locked="0"/>
    </xf>
    <xf numFmtId="2" fontId="14" fillId="0" borderId="0" xfId="3" applyNumberFormat="1" applyFont="1"/>
    <xf numFmtId="0" fontId="4" fillId="0" borderId="0" xfId="0" applyFont="1" applyAlignment="1">
      <alignment vertical="top" wrapText="1"/>
    </xf>
    <xf numFmtId="43" fontId="35" fillId="0" borderId="12" xfId="1" applyFont="1" applyBorder="1" applyAlignment="1" applyProtection="1">
      <alignment horizontal="center" vertical="center" wrapText="1"/>
    </xf>
    <xf numFmtId="2" fontId="36" fillId="0" borderId="13" xfId="1" applyNumberFormat="1" applyFont="1" applyBorder="1" applyAlignment="1" applyProtection="1">
      <alignment horizontal="center" vertical="center" wrapText="1"/>
    </xf>
    <xf numFmtId="0" fontId="36" fillId="0" borderId="13" xfId="1" applyNumberFormat="1" applyFont="1" applyBorder="1" applyAlignment="1" applyProtection="1">
      <alignment horizontal="center" vertical="center" wrapText="1"/>
    </xf>
    <xf numFmtId="0" fontId="37" fillId="0" borderId="13" xfId="1" applyNumberFormat="1" applyFont="1" applyBorder="1" applyAlignment="1" applyProtection="1">
      <alignment horizontal="center" vertical="center" wrapText="1"/>
    </xf>
    <xf numFmtId="0" fontId="38" fillId="0" borderId="14" xfId="0" applyFont="1" applyBorder="1" applyAlignment="1">
      <alignment horizontal="justify" vertical="top" wrapText="1"/>
    </xf>
    <xf numFmtId="43" fontId="38" fillId="0" borderId="14" xfId="1" applyFont="1" applyBorder="1" applyAlignment="1" applyProtection="1">
      <alignment horizontal="left" wrapText="1"/>
    </xf>
    <xf numFmtId="0" fontId="39" fillId="0" borderId="14" xfId="0" applyFont="1" applyBorder="1" applyAlignment="1">
      <alignment horizontal="center" vertical="center" wrapText="1"/>
    </xf>
    <xf numFmtId="2" fontId="40" fillId="0" borderId="3" xfId="1" applyNumberFormat="1" applyFont="1" applyBorder="1" applyAlignment="1" applyProtection="1">
      <alignment horizontal="right" vertical="top" wrapText="1"/>
      <protection locked="0"/>
    </xf>
    <xf numFmtId="2" fontId="40" fillId="0" borderId="3" xfId="1" applyNumberFormat="1" applyFont="1" applyBorder="1" applyAlignment="1" applyProtection="1">
      <alignment horizontal="right" vertical="center" wrapText="1"/>
      <protection locked="0"/>
    </xf>
    <xf numFmtId="2" fontId="38" fillId="0" borderId="9" xfId="3" applyNumberFormat="1" applyFont="1" applyBorder="1" applyAlignment="1">
      <alignment vertical="center"/>
    </xf>
    <xf numFmtId="2" fontId="38" fillId="0" borderId="9" xfId="3" applyNumberFormat="1" applyFont="1" applyBorder="1"/>
    <xf numFmtId="2" fontId="4" fillId="0" borderId="0" xfId="0" applyNumberFormat="1" applyFont="1" applyProtection="1">
      <protection locked="0"/>
    </xf>
    <xf numFmtId="2" fontId="15" fillId="0" borderId="0" xfId="0" applyNumberFormat="1" applyFont="1" applyAlignment="1" applyProtection="1">
      <alignment horizontal="center"/>
      <protection locked="0"/>
    </xf>
    <xf numFmtId="164" fontId="4" fillId="0" borderId="0" xfId="0" applyNumberFormat="1" applyFont="1" applyProtection="1">
      <protection locked="0"/>
    </xf>
    <xf numFmtId="0" fontId="10" fillId="0" borderId="0" xfId="0" applyFont="1" applyAlignment="1" applyProtection="1">
      <alignment horizontal="center"/>
      <protection locked="0"/>
    </xf>
    <xf numFmtId="0" fontId="20" fillId="0" borderId="1" xfId="0" applyFont="1" applyBorder="1" applyAlignment="1" applyProtection="1">
      <alignment vertical="center"/>
      <protection locked="0"/>
    </xf>
    <xf numFmtId="0" fontId="20" fillId="0" borderId="0" xfId="0" applyFont="1" applyAlignment="1" applyProtection="1">
      <alignment vertical="center"/>
      <protection locked="0"/>
    </xf>
    <xf numFmtId="165" fontId="20" fillId="0" borderId="0" xfId="1" applyNumberFormat="1" applyFont="1" applyBorder="1" applyAlignment="1" applyProtection="1">
      <alignment horizontal="center"/>
      <protection locked="0"/>
    </xf>
    <xf numFmtId="2" fontId="20" fillId="0" borderId="0" xfId="0" applyNumberFormat="1" applyFont="1" applyAlignment="1" applyProtection="1">
      <alignment horizontal="center"/>
      <protection locked="0"/>
    </xf>
    <xf numFmtId="0" fontId="15" fillId="0" borderId="0" xfId="0" applyFont="1" applyAlignment="1" applyProtection="1">
      <alignment horizontal="center" vertical="center"/>
      <protection locked="0"/>
    </xf>
    <xf numFmtId="2" fontId="15" fillId="0" borderId="0" xfId="0" applyNumberFormat="1" applyFont="1" applyProtection="1">
      <protection locked="0"/>
    </xf>
    <xf numFmtId="43" fontId="20" fillId="0" borderId="0" xfId="0" applyNumberFormat="1" applyFont="1" applyProtection="1">
      <protection locked="0"/>
    </xf>
    <xf numFmtId="2" fontId="20" fillId="0" borderId="0" xfId="0" applyNumberFormat="1" applyFont="1" applyProtection="1">
      <protection locked="0"/>
    </xf>
    <xf numFmtId="43" fontId="20" fillId="0" borderId="0" xfId="0" applyNumberFormat="1" applyFont="1" applyAlignment="1" applyProtection="1">
      <alignment horizontal="right"/>
      <protection locked="0"/>
    </xf>
    <xf numFmtId="164" fontId="15" fillId="0" borderId="0" xfId="0" applyNumberFormat="1" applyFont="1" applyAlignment="1" applyProtection="1">
      <alignment horizontal="right"/>
      <protection locked="0"/>
    </xf>
    <xf numFmtId="0" fontId="4" fillId="0" borderId="0" xfId="0" applyFont="1" applyAlignment="1" applyProtection="1">
      <alignment vertical="center" wrapText="1"/>
      <protection locked="0"/>
    </xf>
    <xf numFmtId="0" fontId="14" fillId="0" borderId="0" xfId="0" applyFont="1" applyAlignment="1" applyProtection="1">
      <alignment horizontal="center" vertical="top" wrapText="1"/>
      <protection locked="0"/>
    </xf>
    <xf numFmtId="2" fontId="20" fillId="0" borderId="0" xfId="0" applyNumberFormat="1" applyFont="1" applyAlignment="1" applyProtection="1">
      <alignment horizontal="center" vertical="center"/>
      <protection locked="0"/>
    </xf>
    <xf numFmtId="0" fontId="4" fillId="0" borderId="0" xfId="0" applyFont="1" applyAlignment="1" applyProtection="1">
      <alignment vertical="center"/>
      <protection locked="0"/>
    </xf>
    <xf numFmtId="0" fontId="20" fillId="0" borderId="0" xfId="0" applyFont="1" applyAlignment="1" applyProtection="1">
      <alignment horizontal="center" vertical="center"/>
      <protection locked="0"/>
    </xf>
    <xf numFmtId="164" fontId="20" fillId="0" borderId="0" xfId="0" applyNumberFormat="1" applyFont="1" applyAlignment="1" applyProtection="1">
      <alignment horizontal="center" vertical="center"/>
      <protection locked="0"/>
    </xf>
    <xf numFmtId="0" fontId="18" fillId="0" borderId="0" xfId="0" applyFont="1" applyAlignment="1" applyProtection="1">
      <alignment horizontal="center" vertical="center"/>
      <protection locked="0"/>
    </xf>
    <xf numFmtId="2" fontId="15" fillId="0" borderId="0" xfId="0" applyNumberFormat="1" applyFont="1" applyAlignment="1" applyProtection="1">
      <alignment vertical="center"/>
      <protection locked="0"/>
    </xf>
    <xf numFmtId="0" fontId="15" fillId="0" borderId="2" xfId="0" applyFont="1" applyBorder="1" applyAlignment="1" applyProtection="1">
      <alignment vertical="center"/>
      <protection locked="0"/>
    </xf>
    <xf numFmtId="0" fontId="20" fillId="0" borderId="1" xfId="0" applyFont="1" applyBorder="1" applyAlignment="1" applyProtection="1">
      <alignment horizontal="right" vertical="center"/>
      <protection locked="0"/>
    </xf>
    <xf numFmtId="0" fontId="20" fillId="0" borderId="0" xfId="0" applyFont="1" applyAlignment="1" applyProtection="1">
      <alignment horizontal="right" vertical="center"/>
      <protection locked="0"/>
    </xf>
    <xf numFmtId="0" fontId="20" fillId="0" borderId="0" xfId="0" applyFont="1" applyAlignment="1" applyProtection="1">
      <alignment horizontal="center"/>
      <protection locked="0"/>
    </xf>
    <xf numFmtId="2" fontId="14" fillId="0" borderId="0" xfId="0" applyNumberFormat="1" applyFont="1" applyAlignment="1" applyProtection="1">
      <alignment horizontal="center" vertical="center"/>
      <protection locked="0"/>
    </xf>
    <xf numFmtId="0" fontId="20" fillId="0" borderId="1" xfId="0" applyFont="1" applyBorder="1" applyAlignment="1" applyProtection="1">
      <alignment horizontal="center"/>
      <protection locked="0"/>
    </xf>
    <xf numFmtId="2" fontId="14" fillId="0" borderId="0" xfId="0" applyNumberFormat="1" applyFont="1" applyAlignment="1" applyProtection="1">
      <alignment horizontal="center"/>
      <protection locked="0"/>
    </xf>
    <xf numFmtId="164" fontId="20" fillId="0" borderId="0" xfId="0" applyNumberFormat="1" applyFont="1" applyProtection="1">
      <protection locked="0"/>
    </xf>
    <xf numFmtId="0" fontId="20" fillId="0" borderId="1" xfId="0" applyFont="1" applyBorder="1" applyAlignment="1" applyProtection="1">
      <alignment horizontal="center" vertical="center"/>
      <protection locked="0"/>
    </xf>
    <xf numFmtId="0" fontId="21" fillId="0" borderId="0" xfId="0" applyFont="1" applyProtection="1">
      <protection locked="0"/>
    </xf>
    <xf numFmtId="2" fontId="21" fillId="0" borderId="0" xfId="0" applyNumberFormat="1" applyFont="1" applyProtection="1">
      <protection locked="0"/>
    </xf>
    <xf numFmtId="164" fontId="21" fillId="0" borderId="0" xfId="0" applyNumberFormat="1" applyFont="1" applyProtection="1">
      <protection locked="0"/>
    </xf>
    <xf numFmtId="0" fontId="36" fillId="0" borderId="0" xfId="0" applyFont="1"/>
    <xf numFmtId="0" fontId="36" fillId="0" borderId="2" xfId="0" applyFont="1" applyBorder="1"/>
    <xf numFmtId="0" fontId="36" fillId="0" borderId="2" xfId="0" applyFont="1" applyBorder="1" applyAlignment="1">
      <alignment vertical="center"/>
    </xf>
    <xf numFmtId="0" fontId="36" fillId="0" borderId="6" xfId="0" applyFont="1" applyBorder="1" applyProtection="1">
      <protection locked="0"/>
    </xf>
    <xf numFmtId="0" fontId="38" fillId="0" borderId="0" xfId="0" applyFont="1" applyAlignment="1">
      <alignment vertical="center"/>
    </xf>
    <xf numFmtId="2" fontId="40" fillId="0" borderId="0" xfId="0" applyNumberFormat="1" applyFont="1" applyAlignment="1" applyProtection="1">
      <alignment horizontal="center"/>
      <protection locked="0"/>
    </xf>
    <xf numFmtId="165" fontId="40" fillId="0" borderId="0" xfId="1" applyNumberFormat="1" applyFont="1" applyBorder="1" applyAlignment="1" applyProtection="1">
      <alignment horizontal="center"/>
      <protection locked="0"/>
    </xf>
    <xf numFmtId="0" fontId="33" fillId="0" borderId="0" xfId="0" applyFont="1" applyAlignment="1" applyProtection="1">
      <alignment horizontal="center" vertical="center"/>
      <protection locked="0"/>
    </xf>
    <xf numFmtId="2" fontId="33" fillId="0" borderId="0" xfId="0" applyNumberFormat="1" applyFont="1" applyProtection="1">
      <protection locked="0"/>
    </xf>
    <xf numFmtId="2" fontId="40" fillId="0" borderId="0" xfId="0" applyNumberFormat="1" applyFont="1" applyAlignment="1" applyProtection="1">
      <alignment horizontal="center" vertical="center"/>
      <protection locked="0"/>
    </xf>
    <xf numFmtId="0" fontId="40" fillId="0" borderId="0" xfId="0" applyFont="1" applyProtection="1">
      <protection locked="0"/>
    </xf>
    <xf numFmtId="0" fontId="40" fillId="0" borderId="0" xfId="0" applyFont="1" applyAlignment="1" applyProtection="1">
      <alignment horizontal="center"/>
      <protection locked="0"/>
    </xf>
    <xf numFmtId="2" fontId="40" fillId="0" borderId="0" xfId="0" applyNumberFormat="1" applyFont="1" applyProtection="1">
      <protection locked="0"/>
    </xf>
    <xf numFmtId="2" fontId="33" fillId="0" borderId="0" xfId="0" applyNumberFormat="1" applyFont="1" applyAlignment="1" applyProtection="1">
      <alignment vertical="center"/>
      <protection locked="0"/>
    </xf>
    <xf numFmtId="164" fontId="38" fillId="0" borderId="0" xfId="0" applyNumberFormat="1" applyFont="1" applyAlignment="1">
      <alignment horizontal="center" vertical="center"/>
    </xf>
    <xf numFmtId="0" fontId="38" fillId="0" borderId="0" xfId="0" applyFont="1" applyAlignment="1">
      <alignment horizontal="center" vertical="center"/>
    </xf>
    <xf numFmtId="2" fontId="38" fillId="0" borderId="0" xfId="0" applyNumberFormat="1" applyFont="1" applyAlignment="1">
      <alignment horizontal="center"/>
    </xf>
    <xf numFmtId="0" fontId="36" fillId="0" borderId="0" xfId="0" applyFont="1" applyAlignment="1">
      <alignment horizontal="center" vertical="center"/>
    </xf>
    <xf numFmtId="0" fontId="38" fillId="0" borderId="0" xfId="0" applyFont="1" applyAlignment="1">
      <alignment horizontal="center" vertical="center" wrapText="1"/>
    </xf>
    <xf numFmtId="0" fontId="38" fillId="0" borderId="0" xfId="0" applyFont="1" applyAlignment="1">
      <alignment horizontal="center" vertical="top" wrapText="1"/>
    </xf>
    <xf numFmtId="43" fontId="38" fillId="0" borderId="0" xfId="1" applyFont="1" applyBorder="1" applyAlignment="1" applyProtection="1">
      <alignment horizontal="center" vertical="center"/>
    </xf>
    <xf numFmtId="2" fontId="33" fillId="0" borderId="5" xfId="0" applyNumberFormat="1" applyFont="1" applyBorder="1" applyProtection="1">
      <protection locked="0"/>
    </xf>
    <xf numFmtId="0" fontId="38" fillId="0" borderId="5" xfId="0" applyFont="1" applyBorder="1" applyAlignment="1">
      <alignment horizontal="center"/>
    </xf>
    <xf numFmtId="0" fontId="0" fillId="0" borderId="0" xfId="0" applyAlignment="1">
      <alignment horizontal="left"/>
    </xf>
    <xf numFmtId="0" fontId="17" fillId="0" borderId="0" xfId="0" applyFont="1"/>
    <xf numFmtId="0" fontId="19" fillId="0" borderId="0" xfId="0" applyFont="1"/>
    <xf numFmtId="0" fontId="19" fillId="0" borderId="5" xfId="0" applyFont="1" applyBorder="1"/>
    <xf numFmtId="0" fontId="41" fillId="0" borderId="9" xfId="2" applyFont="1" applyBorder="1"/>
    <xf numFmtId="0" fontId="38" fillId="0" borderId="0" xfId="2" applyFont="1"/>
    <xf numFmtId="0" fontId="38" fillId="0" borderId="0" xfId="2" quotePrefix="1" applyFont="1" applyAlignment="1">
      <alignment horizontal="right"/>
    </xf>
    <xf numFmtId="2" fontId="38" fillId="0" borderId="0" xfId="2" applyNumberFormat="1" applyFont="1" applyAlignment="1">
      <alignment horizontal="right"/>
    </xf>
    <xf numFmtId="0" fontId="38" fillId="0" borderId="0" xfId="2" applyFont="1" applyAlignment="1">
      <alignment horizontal="center"/>
    </xf>
    <xf numFmtId="0" fontId="38" fillId="0" borderId="3" xfId="2" applyFont="1" applyBorder="1"/>
    <xf numFmtId="0" fontId="39" fillId="0" borderId="9" xfId="2" applyFont="1" applyBorder="1"/>
    <xf numFmtId="0" fontId="38" fillId="0" borderId="9" xfId="2" applyFont="1" applyBorder="1"/>
    <xf numFmtId="2" fontId="38" fillId="0" borderId="0" xfId="2" applyNumberFormat="1" applyFont="1"/>
    <xf numFmtId="0" fontId="41" fillId="0" borderId="0" xfId="2" applyFont="1" applyAlignment="1">
      <alignment horizontal="center"/>
    </xf>
    <xf numFmtId="2" fontId="38" fillId="0" borderId="11" xfId="2" applyNumberFormat="1" applyFont="1" applyBorder="1"/>
    <xf numFmtId="2" fontId="36" fillId="0" borderId="0" xfId="2" applyNumberFormat="1" applyFont="1"/>
    <xf numFmtId="0" fontId="36" fillId="0" borderId="0" xfId="2" applyFont="1" applyAlignment="1">
      <alignment horizontal="center"/>
    </xf>
    <xf numFmtId="0" fontId="36" fillId="0" borderId="9" xfId="2" applyFont="1" applyBorder="1"/>
    <xf numFmtId="0" fontId="36" fillId="0" borderId="0" xfId="2" applyFont="1"/>
    <xf numFmtId="0" fontId="41" fillId="0" borderId="14" xfId="2" applyFont="1" applyBorder="1"/>
    <xf numFmtId="0" fontId="41" fillId="0" borderId="14" xfId="2" applyFont="1" applyBorder="1" applyAlignment="1">
      <alignment wrapText="1"/>
    </xf>
    <xf numFmtId="0" fontId="41" fillId="0" borderId="0" xfId="2" applyFont="1"/>
    <xf numFmtId="0" fontId="41" fillId="0" borderId="14" xfId="2" applyFont="1" applyBorder="1" applyAlignment="1">
      <alignment horizontal="center"/>
    </xf>
    <xf numFmtId="0" fontId="38" fillId="0" borderId="0" xfId="0" applyFont="1" applyAlignment="1">
      <alignment vertical="top" wrapText="1"/>
    </xf>
    <xf numFmtId="2" fontId="38" fillId="0" borderId="0" xfId="3" applyNumberFormat="1" applyFont="1" applyAlignment="1">
      <alignment vertical="top"/>
    </xf>
    <xf numFmtId="0" fontId="41" fillId="0" borderId="0" xfId="0" applyFont="1"/>
    <xf numFmtId="0" fontId="41" fillId="0" borderId="14" xfId="0" applyFont="1" applyBorder="1"/>
    <xf numFmtId="0" fontId="41" fillId="0" borderId="2" xfId="0" applyFont="1" applyBorder="1"/>
    <xf numFmtId="0" fontId="41" fillId="0" borderId="1" xfId="0" applyFont="1" applyBorder="1"/>
    <xf numFmtId="2" fontId="36" fillId="0" borderId="0" xfId="3" applyNumberFormat="1" applyFont="1" applyAlignment="1">
      <alignment vertical="top"/>
    </xf>
    <xf numFmtId="2" fontId="36" fillId="0" borderId="0" xfId="3" applyNumberFormat="1" applyFont="1" applyAlignment="1" applyProtection="1">
      <alignment vertical="top"/>
      <protection locked="0"/>
    </xf>
    <xf numFmtId="0" fontId="7" fillId="0" borderId="0" xfId="0" applyFont="1" applyAlignment="1">
      <alignment vertical="center"/>
    </xf>
    <xf numFmtId="0" fontId="7" fillId="0" borderId="2" xfId="0" applyFont="1" applyBorder="1"/>
    <xf numFmtId="0" fontId="8" fillId="0" borderId="0" xfId="0" applyFont="1"/>
    <xf numFmtId="0" fontId="7" fillId="0" borderId="1" xfId="0" applyFont="1" applyBorder="1"/>
    <xf numFmtId="2" fontId="13" fillId="0" borderId="1" xfId="3" applyNumberFormat="1" applyFont="1" applyBorder="1" applyAlignment="1">
      <alignment horizontal="center" vertical="top"/>
    </xf>
    <xf numFmtId="2" fontId="13" fillId="0" borderId="4" xfId="3" applyNumberFormat="1" applyFont="1" applyBorder="1" applyAlignment="1">
      <alignment horizontal="center" vertical="top"/>
    </xf>
    <xf numFmtId="0" fontId="7" fillId="0" borderId="5" xfId="0" applyFont="1" applyBorder="1"/>
    <xf numFmtId="0" fontId="7" fillId="0" borderId="6" xfId="0" applyFont="1" applyBorder="1"/>
    <xf numFmtId="2" fontId="32" fillId="0" borderId="14" xfId="0" applyNumberFormat="1" applyFont="1" applyBorder="1" applyAlignment="1" applyProtection="1">
      <alignment vertical="center"/>
      <protection locked="0"/>
    </xf>
    <xf numFmtId="0" fontId="32" fillId="0" borderId="15" xfId="0" applyFont="1" applyBorder="1" applyAlignment="1" applyProtection="1">
      <alignment horizontal="center" vertical="center"/>
      <protection locked="0"/>
    </xf>
    <xf numFmtId="2" fontId="32" fillId="0" borderId="14" xfId="1" applyNumberFormat="1" applyFont="1" applyBorder="1" applyAlignment="1" applyProtection="1">
      <alignment horizontal="center" vertical="center"/>
      <protection locked="0"/>
    </xf>
    <xf numFmtId="0" fontId="40" fillId="0" borderId="0" xfId="0" applyFont="1" applyAlignment="1">
      <alignment vertical="top"/>
    </xf>
    <xf numFmtId="0" fontId="42" fillId="0" borderId="16" xfId="0" applyFont="1" applyBorder="1" applyAlignment="1">
      <alignment horizontal="right" vertical="center" wrapText="1"/>
    </xf>
    <xf numFmtId="0" fontId="41" fillId="0" borderId="15" xfId="0" applyFont="1" applyBorder="1" applyAlignment="1">
      <alignment vertical="center"/>
    </xf>
    <xf numFmtId="0" fontId="41" fillId="0" borderId="14" xfId="0" applyFont="1" applyBorder="1" applyAlignment="1">
      <alignment vertical="center"/>
    </xf>
    <xf numFmtId="0" fontId="38" fillId="0" borderId="0" xfId="0" applyFont="1"/>
    <xf numFmtId="0" fontId="41" fillId="0" borderId="1" xfId="0" applyFont="1" applyBorder="1" applyAlignment="1">
      <alignment vertical="top"/>
    </xf>
    <xf numFmtId="0" fontId="41" fillId="0" borderId="0" xfId="0" applyFont="1" applyAlignment="1">
      <alignment vertical="top"/>
    </xf>
    <xf numFmtId="0" fontId="43" fillId="0" borderId="1" xfId="0" applyFont="1" applyBorder="1"/>
    <xf numFmtId="2" fontId="41" fillId="0" borderId="0" xfId="3" applyNumberFormat="1" applyFont="1" applyAlignment="1">
      <alignment vertical="top"/>
    </xf>
    <xf numFmtId="0" fontId="43" fillId="0" borderId="2" xfId="0" applyFont="1" applyBorder="1"/>
    <xf numFmtId="0" fontId="38" fillId="0" borderId="1" xfId="0" applyFont="1" applyBorder="1" applyAlignment="1">
      <alignment vertical="top"/>
    </xf>
    <xf numFmtId="0" fontId="38" fillId="0" borderId="0" xfId="0" applyFont="1" applyAlignment="1">
      <alignment vertical="top"/>
    </xf>
    <xf numFmtId="0" fontId="36" fillId="0" borderId="1" xfId="0" applyFont="1" applyBorder="1" applyAlignment="1">
      <alignment horizontal="left" vertical="center"/>
    </xf>
    <xf numFmtId="0" fontId="38" fillId="0" borderId="17" xfId="0" applyFont="1" applyBorder="1" applyAlignment="1">
      <alignment horizontal="center" vertical="top" wrapText="1"/>
    </xf>
    <xf numFmtId="0" fontId="38" fillId="0" borderId="13" xfId="0" applyFont="1" applyBorder="1" applyAlignment="1">
      <alignment vertical="top" wrapText="1"/>
    </xf>
    <xf numFmtId="0" fontId="38" fillId="0" borderId="13" xfId="0" applyFont="1" applyBorder="1" applyAlignment="1">
      <alignment horizontal="center" vertical="top" wrapText="1"/>
    </xf>
    <xf numFmtId="0" fontId="38" fillId="0" borderId="18" xfId="0" applyFont="1" applyBorder="1" applyAlignment="1">
      <alignment vertical="top" wrapText="1"/>
    </xf>
    <xf numFmtId="0" fontId="39" fillId="0" borderId="15" xfId="0" applyFont="1" applyBorder="1" applyAlignment="1">
      <alignment horizontal="center" vertical="top" wrapText="1"/>
    </xf>
    <xf numFmtId="0" fontId="41" fillId="0" borderId="14" xfId="0" applyFont="1" applyBorder="1" applyAlignment="1">
      <alignment vertical="top" wrapText="1"/>
    </xf>
    <xf numFmtId="2" fontId="38" fillId="0" borderId="14" xfId="0" applyNumberFormat="1" applyFont="1" applyBorder="1" applyAlignment="1">
      <alignment horizontal="center" vertical="top" wrapText="1"/>
    </xf>
    <xf numFmtId="2" fontId="38" fillId="0" borderId="14" xfId="1" applyNumberFormat="1" applyFont="1" applyFill="1" applyBorder="1" applyAlignment="1" applyProtection="1">
      <alignment horizontal="center" vertical="top" wrapText="1"/>
    </xf>
    <xf numFmtId="0" fontId="38" fillId="0" borderId="14" xfId="0" applyFont="1" applyBorder="1" applyAlignment="1">
      <alignment horizontal="center" vertical="top"/>
    </xf>
    <xf numFmtId="0" fontId="38" fillId="0" borderId="14" xfId="1" applyNumberFormat="1" applyFont="1" applyFill="1" applyBorder="1" applyAlignment="1" applyProtection="1">
      <alignment horizontal="center" vertical="top" wrapText="1"/>
    </xf>
    <xf numFmtId="2" fontId="38" fillId="0" borderId="19" xfId="1" applyNumberFormat="1" applyFont="1" applyFill="1" applyBorder="1" applyAlignment="1" applyProtection="1">
      <alignment horizontal="center" vertical="top" wrapText="1"/>
    </xf>
    <xf numFmtId="0" fontId="38" fillId="0" borderId="14" xfId="0" applyFont="1" applyBorder="1" applyAlignment="1">
      <alignment horizontal="center" vertical="top" wrapText="1"/>
    </xf>
    <xf numFmtId="2" fontId="38" fillId="0" borderId="14" xfId="1" applyNumberFormat="1" applyFont="1" applyBorder="1" applyAlignment="1" applyProtection="1">
      <alignment horizontal="center" vertical="top" wrapText="1"/>
    </xf>
    <xf numFmtId="0" fontId="39" fillId="0" borderId="1" xfId="0" applyFont="1" applyBorder="1" applyAlignment="1">
      <alignment horizontal="center" vertical="top" wrapText="1"/>
    </xf>
    <xf numFmtId="0" fontId="41" fillId="0" borderId="0" xfId="0" applyFont="1" applyAlignment="1">
      <alignment vertical="top" wrapText="1"/>
    </xf>
    <xf numFmtId="2" fontId="38" fillId="0" borderId="0" xfId="1" applyNumberFormat="1" applyFont="1" applyFill="1" applyBorder="1" applyAlignment="1" applyProtection="1">
      <alignment horizontal="center" vertical="top" wrapText="1"/>
    </xf>
    <xf numFmtId="2" fontId="38" fillId="0" borderId="0" xfId="1" applyNumberFormat="1" applyFont="1" applyBorder="1" applyAlignment="1" applyProtection="1">
      <alignment horizontal="center" vertical="top" wrapText="1"/>
    </xf>
    <xf numFmtId="2" fontId="38" fillId="0" borderId="2" xfId="1" applyNumberFormat="1" applyFont="1" applyFill="1" applyBorder="1" applyAlignment="1" applyProtection="1">
      <alignment horizontal="center" vertical="top" wrapText="1"/>
    </xf>
    <xf numFmtId="0" fontId="39" fillId="0" borderId="1" xfId="0" applyFont="1" applyBorder="1" applyAlignment="1">
      <alignment horizontal="center"/>
    </xf>
    <xf numFmtId="0" fontId="41" fillId="0" borderId="0" xfId="0" applyFont="1" applyAlignment="1">
      <alignment horizontal="center"/>
    </xf>
    <xf numFmtId="43" fontId="41" fillId="0" borderId="0" xfId="1" applyFont="1" applyFill="1" applyBorder="1" applyProtection="1"/>
    <xf numFmtId="2" fontId="41" fillId="0" borderId="0" xfId="1" applyNumberFormat="1" applyFont="1" applyFill="1" applyBorder="1" applyAlignment="1" applyProtection="1">
      <alignment horizontal="center" vertical="top" wrapText="1"/>
    </xf>
    <xf numFmtId="43" fontId="41" fillId="0" borderId="2" xfId="1" applyFont="1" applyFill="1" applyBorder="1" applyAlignment="1" applyProtection="1"/>
    <xf numFmtId="0" fontId="41" fillId="0" borderId="1" xfId="0" applyFont="1" applyBorder="1" applyAlignment="1">
      <alignment horizontal="center" vertical="top" wrapText="1"/>
    </xf>
    <xf numFmtId="0" fontId="41" fillId="0" borderId="0" xfId="0" applyFont="1" applyAlignment="1">
      <alignment horizontal="center" vertical="top" wrapText="1"/>
    </xf>
    <xf numFmtId="43" fontId="41" fillId="0" borderId="0" xfId="1" applyFont="1" applyFill="1" applyBorder="1" applyAlignment="1" applyProtection="1"/>
    <xf numFmtId="0" fontId="41" fillId="0" borderId="1" xfId="0" applyFont="1" applyBorder="1" applyAlignment="1">
      <alignment horizontal="center"/>
    </xf>
    <xf numFmtId="2" fontId="41" fillId="0" borderId="0" xfId="3" applyNumberFormat="1" applyFont="1" applyAlignment="1">
      <alignment horizontal="center" vertical="top"/>
    </xf>
    <xf numFmtId="0" fontId="41" fillId="0" borderId="4" xfId="0" applyFont="1" applyBorder="1"/>
    <xf numFmtId="0" fontId="41" fillId="0" borderId="5" xfId="0" applyFont="1" applyBorder="1"/>
    <xf numFmtId="0" fontId="41" fillId="0" borderId="6" xfId="0" applyFont="1" applyBorder="1"/>
    <xf numFmtId="2" fontId="40" fillId="0" borderId="14" xfId="0" applyNumberFormat="1" applyFont="1" applyBorder="1" applyAlignment="1" applyProtection="1">
      <alignment horizontal="center" vertical="top" wrapText="1"/>
      <protection locked="0"/>
    </xf>
    <xf numFmtId="0" fontId="38" fillId="0" borderId="1" xfId="0" applyFont="1" applyBorder="1" applyAlignment="1">
      <alignment horizontal="justify" vertical="center" wrapText="1"/>
    </xf>
    <xf numFmtId="0" fontId="38" fillId="0" borderId="0" xfId="0" applyFont="1" applyAlignment="1">
      <alignment horizontal="justify" vertical="center" wrapText="1"/>
    </xf>
    <xf numFmtId="0" fontId="38" fillId="0" borderId="2" xfId="0" applyFont="1" applyBorder="1" applyAlignment="1">
      <alignment horizontal="justify" vertical="center" wrapText="1"/>
    </xf>
    <xf numFmtId="2" fontId="40" fillId="0" borderId="14" xfId="1" applyNumberFormat="1" applyFont="1" applyBorder="1" applyAlignment="1" applyProtection="1">
      <alignment horizontal="center" wrapText="1"/>
      <protection locked="0"/>
    </xf>
    <xf numFmtId="43" fontId="38" fillId="0" borderId="14" xfId="1" applyFont="1" applyBorder="1" applyAlignment="1" applyProtection="1">
      <alignment horizontal="center" vertical="center" wrapText="1"/>
    </xf>
    <xf numFmtId="0" fontId="23" fillId="0" borderId="11" xfId="0" applyFont="1" applyBorder="1" applyAlignment="1" applyProtection="1">
      <alignment horizontal="center" wrapText="1"/>
      <protection locked="0"/>
    </xf>
    <xf numFmtId="0" fontId="23" fillId="0" borderId="27" xfId="0" applyFont="1" applyBorder="1" applyAlignment="1" applyProtection="1">
      <alignment horizontal="center" wrapText="1"/>
      <protection locked="0"/>
    </xf>
    <xf numFmtId="0" fontId="38" fillId="0" borderId="9" xfId="0" applyFont="1" applyBorder="1" applyAlignment="1">
      <alignment horizontal="right" vertical="center" wrapText="1"/>
    </xf>
    <xf numFmtId="0" fontId="38" fillId="0" borderId="0" xfId="0" applyFont="1" applyAlignment="1">
      <alignment horizontal="right" vertical="center" wrapText="1"/>
    </xf>
    <xf numFmtId="0" fontId="38" fillId="0" borderId="9" xfId="0" applyFont="1" applyBorder="1" applyAlignment="1">
      <alignment horizontal="right" vertical="top" wrapText="1"/>
    </xf>
    <xf numFmtId="0" fontId="38" fillId="0" borderId="0" xfId="0" applyFont="1" applyAlignment="1">
      <alignment horizontal="right" vertical="top" wrapText="1"/>
    </xf>
    <xf numFmtId="2" fontId="40" fillId="0" borderId="14" xfId="1" applyNumberFormat="1" applyFont="1" applyBorder="1" applyAlignment="1" applyProtection="1">
      <alignment horizontal="center" vertical="center" wrapText="1"/>
      <protection locked="0"/>
    </xf>
    <xf numFmtId="43" fontId="38" fillId="0" borderId="14" xfId="0" applyNumberFormat="1" applyFont="1" applyBorder="1" applyAlignment="1">
      <alignment horizontal="center" wrapText="1"/>
    </xf>
    <xf numFmtId="2" fontId="12" fillId="0" borderId="0" xfId="3" applyNumberFormat="1" applyFont="1" applyAlignment="1" applyProtection="1">
      <alignment horizontal="center" vertical="top"/>
      <protection locked="0"/>
    </xf>
    <xf numFmtId="0" fontId="20" fillId="0" borderId="9" xfId="0" applyFont="1" applyBorder="1" applyAlignment="1" applyProtection="1">
      <alignment horizontal="right" vertical="center" wrapText="1"/>
      <protection locked="0"/>
    </xf>
    <xf numFmtId="0" fontId="20" fillId="0" borderId="0" xfId="0" applyFont="1" applyAlignment="1" applyProtection="1">
      <alignment horizontal="right" vertical="center" wrapText="1"/>
      <protection locked="0"/>
    </xf>
    <xf numFmtId="2" fontId="40" fillId="0" borderId="9" xfId="3" applyNumberFormat="1" applyFont="1" applyBorder="1" applyAlignment="1" applyProtection="1">
      <alignment horizontal="center" vertical="top"/>
      <protection locked="0"/>
    </xf>
    <xf numFmtId="2" fontId="40" fillId="0" borderId="0" xfId="3" applyNumberFormat="1" applyFont="1" applyAlignment="1" applyProtection="1">
      <alignment horizontal="center" vertical="top"/>
      <protection locked="0"/>
    </xf>
    <xf numFmtId="0" fontId="48" fillId="0" borderId="28" xfId="0" applyFont="1" applyBorder="1" applyAlignment="1">
      <alignment horizontal="center" vertical="center"/>
    </xf>
    <xf numFmtId="0" fontId="34" fillId="0" borderId="24" xfId="0" applyFont="1" applyBorder="1" applyAlignment="1" applyProtection="1">
      <alignment horizontal="left" vertical="center" wrapText="1"/>
      <protection locked="0"/>
    </xf>
    <xf numFmtId="0" fontId="34" fillId="0" borderId="26" xfId="0" applyFont="1" applyBorder="1" applyAlignment="1" applyProtection="1">
      <alignment horizontal="left" vertical="center" wrapText="1"/>
      <protection locked="0"/>
    </xf>
    <xf numFmtId="0" fontId="27" fillId="0" borderId="20" xfId="0" applyFont="1" applyBorder="1" applyAlignment="1" applyProtection="1">
      <alignment horizontal="center" vertical="center" wrapText="1"/>
      <protection locked="0"/>
    </xf>
    <xf numFmtId="0" fontId="27" fillId="0" borderId="0" xfId="0" applyFont="1" applyAlignment="1" applyProtection="1">
      <alignment horizontal="center" vertical="center" wrapText="1"/>
      <protection locked="0"/>
    </xf>
    <xf numFmtId="0" fontId="34" fillId="0" borderId="8" xfId="0" applyFont="1" applyBorder="1" applyAlignment="1" applyProtection="1">
      <alignment horizontal="center" vertical="center" wrapText="1"/>
      <protection locked="0"/>
    </xf>
    <xf numFmtId="0" fontId="34" fillId="0" borderId="21" xfId="0" applyFont="1" applyBorder="1" applyAlignment="1" applyProtection="1">
      <alignment horizontal="center" vertical="center" wrapText="1"/>
      <protection locked="0"/>
    </xf>
    <xf numFmtId="0" fontId="28" fillId="0" borderId="1" xfId="0" applyFont="1" applyBorder="1" applyAlignment="1">
      <alignment horizontal="left"/>
    </xf>
    <xf numFmtId="0" fontId="28" fillId="0" borderId="0" xfId="0" applyFont="1" applyAlignment="1">
      <alignment horizontal="left"/>
    </xf>
    <xf numFmtId="0" fontId="31" fillId="0" borderId="1" xfId="0" applyFont="1" applyBorder="1" applyAlignment="1">
      <alignment horizontal="right"/>
    </xf>
    <xf numFmtId="0" fontId="31" fillId="0" borderId="0" xfId="0" applyFont="1" applyAlignment="1">
      <alignment horizontal="right"/>
    </xf>
    <xf numFmtId="0" fontId="28" fillId="0" borderId="22" xfId="0" applyFont="1" applyBorder="1" applyAlignment="1">
      <alignment horizontal="center"/>
    </xf>
    <xf numFmtId="0" fontId="28" fillId="0" borderId="11" xfId="0" applyFont="1" applyBorder="1" applyAlignment="1">
      <alignment horizontal="center"/>
    </xf>
    <xf numFmtId="0" fontId="44" fillId="0" borderId="7" xfId="0" applyFont="1" applyBorder="1" applyAlignment="1">
      <alignment horizontal="justify" vertical="center" wrapText="1"/>
    </xf>
    <xf numFmtId="0" fontId="44" fillId="0" borderId="8" xfId="0" applyFont="1" applyBorder="1" applyAlignment="1">
      <alignment horizontal="justify" vertical="center" wrapText="1"/>
    </xf>
    <xf numFmtId="0" fontId="44" fillId="0" borderId="21" xfId="0" applyFont="1" applyBorder="1" applyAlignment="1">
      <alignment horizontal="justify" vertical="center" wrapText="1"/>
    </xf>
    <xf numFmtId="0" fontId="34" fillId="0" borderId="0" xfId="0" applyFont="1" applyAlignment="1" applyProtection="1">
      <alignment horizontal="center" vertical="center" wrapText="1"/>
      <protection locked="0"/>
    </xf>
    <xf numFmtId="0" fontId="34" fillId="0" borderId="2" xfId="0" applyFont="1" applyBorder="1" applyAlignment="1" applyProtection="1">
      <alignment horizontal="center" vertical="center" wrapText="1"/>
      <protection locked="0"/>
    </xf>
    <xf numFmtId="0" fontId="45" fillId="0" borderId="0" xfId="0" applyFont="1" applyAlignment="1">
      <alignment vertical="center"/>
    </xf>
    <xf numFmtId="2" fontId="33" fillId="0" borderId="0" xfId="0" applyNumberFormat="1" applyFont="1" applyAlignment="1" applyProtection="1">
      <alignment horizontal="center"/>
      <protection locked="0"/>
    </xf>
    <xf numFmtId="0" fontId="14" fillId="0" borderId="1" xfId="0" applyFont="1" applyBorder="1" applyAlignment="1" applyProtection="1">
      <alignment vertical="center" wrapText="1"/>
      <protection locked="0"/>
    </xf>
    <xf numFmtId="0" fontId="14" fillId="0" borderId="0" xfId="0" applyFont="1" applyAlignment="1" applyProtection="1">
      <alignment vertical="center" wrapText="1"/>
      <protection locked="0"/>
    </xf>
    <xf numFmtId="166" fontId="34" fillId="0" borderId="8" xfId="0" applyNumberFormat="1" applyFont="1" applyBorder="1" applyAlignment="1" applyProtection="1">
      <alignment horizontal="center" vertical="center"/>
      <protection locked="0"/>
    </xf>
    <xf numFmtId="2" fontId="20" fillId="0" borderId="5" xfId="3" applyNumberFormat="1" applyFont="1" applyBorder="1" applyAlignment="1" applyProtection="1">
      <alignment horizontal="center" vertical="top"/>
      <protection locked="0"/>
    </xf>
    <xf numFmtId="0" fontId="21" fillId="0" borderId="0" xfId="0" applyFont="1" applyAlignment="1" applyProtection="1">
      <alignment horizontal="center"/>
      <protection locked="0"/>
    </xf>
    <xf numFmtId="0" fontId="21" fillId="0" borderId="2" xfId="0" applyFont="1" applyBorder="1" applyAlignment="1" applyProtection="1">
      <alignment horizontal="center"/>
      <protection locked="0"/>
    </xf>
    <xf numFmtId="0" fontId="40" fillId="0" borderId="0" xfId="0" applyFont="1" applyAlignment="1" applyProtection="1">
      <alignment horizontal="left"/>
      <protection locked="0"/>
    </xf>
    <xf numFmtId="0" fontId="40" fillId="0" borderId="2" xfId="0" applyFont="1" applyBorder="1" applyAlignment="1" applyProtection="1">
      <alignment horizontal="left"/>
      <protection locked="0"/>
    </xf>
    <xf numFmtId="0" fontId="28" fillId="0" borderId="1" xfId="0" applyFont="1" applyBorder="1" applyAlignment="1">
      <alignment horizontal="center"/>
    </xf>
    <xf numFmtId="0" fontId="28" fillId="0" borderId="0" xfId="0" applyFont="1" applyAlignment="1">
      <alignment horizontal="center"/>
    </xf>
    <xf numFmtId="2" fontId="31" fillId="0" borderId="0" xfId="3" applyNumberFormat="1" applyFont="1" applyAlignment="1">
      <alignment horizontal="center" vertical="top"/>
    </xf>
    <xf numFmtId="0" fontId="46" fillId="0" borderId="7" xfId="0" applyFont="1" applyBorder="1" applyAlignment="1">
      <alignment horizontal="center" vertical="center"/>
    </xf>
    <xf numFmtId="0" fontId="46" fillId="0" borderId="8" xfId="0" applyFont="1" applyBorder="1" applyAlignment="1">
      <alignment horizontal="center" vertical="center"/>
    </xf>
    <xf numFmtId="0" fontId="46" fillId="0" borderId="21" xfId="0" applyFont="1" applyBorder="1" applyAlignment="1">
      <alignment horizontal="center"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25" fillId="0" borderId="25" xfId="0" applyFont="1" applyBorder="1" applyAlignment="1">
      <alignment horizontal="center" vertical="center"/>
    </xf>
    <xf numFmtId="0" fontId="45" fillId="0" borderId="2" xfId="0" applyFont="1" applyBorder="1" applyAlignment="1">
      <alignment vertical="center"/>
    </xf>
    <xf numFmtId="0" fontId="47" fillId="0" borderId="1" xfId="0" applyFont="1" applyBorder="1" applyAlignment="1">
      <alignment horizontal="center" vertical="center"/>
    </xf>
    <xf numFmtId="0" fontId="47" fillId="0" borderId="0" xfId="0" applyFont="1" applyAlignment="1">
      <alignment horizontal="center" vertical="center"/>
    </xf>
    <xf numFmtId="0" fontId="40" fillId="0" borderId="0" xfId="0" applyFont="1" applyAlignment="1" applyProtection="1">
      <alignment vertical="center" wrapText="1"/>
      <protection locked="0"/>
    </xf>
    <xf numFmtId="0" fontId="40" fillId="0" borderId="2" xfId="0" applyFont="1" applyBorder="1" applyAlignment="1" applyProtection="1">
      <alignment vertical="center" wrapText="1"/>
      <protection locked="0"/>
    </xf>
    <xf numFmtId="0" fontId="13" fillId="0" borderId="0" xfId="0" applyFont="1" applyAlignment="1" applyProtection="1">
      <alignment horizontal="left"/>
      <protection locked="0"/>
    </xf>
    <xf numFmtId="0" fontId="13" fillId="0" borderId="2" xfId="0" applyFont="1" applyBorder="1" applyAlignment="1" applyProtection="1">
      <alignment horizontal="left"/>
      <protection locked="0"/>
    </xf>
    <xf numFmtId="0" fontId="14" fillId="0" borderId="0" xfId="0" applyFont="1" applyAlignment="1" applyProtection="1">
      <alignment horizontal="left"/>
      <protection locked="0"/>
    </xf>
    <xf numFmtId="0" fontId="14" fillId="0" borderId="2" xfId="0" applyFont="1" applyBorder="1" applyAlignment="1" applyProtection="1">
      <alignment horizontal="left"/>
      <protection locked="0"/>
    </xf>
    <xf numFmtId="0" fontId="34" fillId="0" borderId="0" xfId="0" applyFont="1" applyAlignment="1" applyProtection="1">
      <alignment horizontal="center"/>
      <protection locked="0"/>
    </xf>
    <xf numFmtId="0" fontId="34" fillId="0" borderId="2" xfId="0" applyFont="1" applyBorder="1" applyAlignment="1" applyProtection="1">
      <alignment horizontal="center"/>
      <protection locked="0"/>
    </xf>
    <xf numFmtId="0" fontId="34" fillId="0" borderId="23" xfId="0" applyFont="1" applyBorder="1" applyAlignment="1" applyProtection="1">
      <alignment horizontal="left" vertical="center" wrapText="1"/>
      <protection locked="0"/>
    </xf>
    <xf numFmtId="0" fontId="34" fillId="0" borderId="25" xfId="0" applyFont="1" applyBorder="1" applyAlignment="1" applyProtection="1">
      <alignment horizontal="left" vertical="center" wrapText="1"/>
      <protection locked="0"/>
    </xf>
    <xf numFmtId="0" fontId="35" fillId="0" borderId="23" xfId="0" applyFont="1" applyBorder="1" applyAlignment="1">
      <alignment horizontal="center" vertical="center" wrapText="1"/>
    </xf>
    <xf numFmtId="0" fontId="35" fillId="0" borderId="25" xfId="0" applyFont="1" applyBorder="1" applyAlignment="1">
      <alignment horizontal="center" vertical="center" wrapText="1"/>
    </xf>
    <xf numFmtId="0" fontId="49" fillId="0" borderId="23" xfId="0" applyFont="1" applyBorder="1" applyAlignment="1">
      <alignment horizontal="center" vertical="center"/>
    </xf>
    <xf numFmtId="0" fontId="49" fillId="0" borderId="24" xfId="0" applyFont="1" applyBorder="1" applyAlignment="1">
      <alignment horizontal="center" vertical="center"/>
    </xf>
    <xf numFmtId="0" fontId="49" fillId="0" borderId="25" xfId="0" applyFont="1" applyBorder="1" applyAlignment="1">
      <alignment horizontal="center" vertical="center"/>
    </xf>
    <xf numFmtId="164" fontId="36" fillId="0" borderId="0" xfId="0" applyNumberFormat="1" applyFont="1" applyAlignment="1">
      <alignment horizontal="right"/>
    </xf>
    <xf numFmtId="164" fontId="15" fillId="0" borderId="0" xfId="0" applyNumberFormat="1" applyFont="1" applyAlignment="1" applyProtection="1">
      <alignment horizontal="right"/>
      <protection locked="0"/>
    </xf>
    <xf numFmtId="0" fontId="38" fillId="0" borderId="1" xfId="0" applyFont="1" applyBorder="1" applyAlignment="1">
      <alignment horizontal="justify" vertical="center" wrapText="1"/>
    </xf>
    <xf numFmtId="0" fontId="38" fillId="0" borderId="0" xfId="0" applyFont="1" applyAlignment="1">
      <alignment horizontal="justify" vertical="center" wrapText="1"/>
    </xf>
    <xf numFmtId="0" fontId="38" fillId="0" borderId="2" xfId="0" applyFont="1" applyBorder="1" applyAlignment="1">
      <alignment horizontal="justify" vertical="center" wrapText="1"/>
    </xf>
    <xf numFmtId="0" fontId="38" fillId="0" borderId="1" xfId="0" applyFont="1" applyBorder="1" applyAlignment="1">
      <alignment horizontal="center" vertical="center"/>
    </xf>
    <xf numFmtId="0" fontId="38" fillId="0" borderId="0" xfId="0" applyFont="1" applyAlignment="1">
      <alignment horizontal="center" vertical="center"/>
    </xf>
    <xf numFmtId="0" fontId="38" fillId="0" borderId="1" xfId="0" applyFont="1" applyBorder="1" applyAlignment="1">
      <alignment horizontal="right" vertical="center"/>
    </xf>
    <xf numFmtId="0" fontId="38" fillId="0" borderId="0" xfId="0" applyFont="1" applyAlignment="1">
      <alignment horizontal="right" vertical="center"/>
    </xf>
    <xf numFmtId="0" fontId="38" fillId="0" borderId="1" xfId="0" applyFont="1" applyBorder="1" applyAlignment="1">
      <alignment horizontal="center"/>
    </xf>
    <xf numFmtId="0" fontId="38" fillId="0" borderId="0" xfId="0" applyFont="1" applyAlignment="1">
      <alignment horizontal="center"/>
    </xf>
    <xf numFmtId="2" fontId="20" fillId="0" borderId="0" xfId="3" applyNumberFormat="1" applyFont="1" applyAlignment="1" applyProtection="1">
      <alignment horizontal="center" vertical="top"/>
      <protection locked="0"/>
    </xf>
    <xf numFmtId="0" fontId="20" fillId="0" borderId="1" xfId="0" applyFont="1" applyBorder="1" applyAlignment="1" applyProtection="1">
      <alignment horizontal="center"/>
      <protection locked="0"/>
    </xf>
    <xf numFmtId="0" fontId="20" fillId="0" borderId="0" xfId="0" applyFont="1" applyAlignment="1" applyProtection="1">
      <alignment horizontal="center"/>
      <protection locked="0"/>
    </xf>
    <xf numFmtId="0" fontId="14" fillId="0" borderId="1" xfId="0" applyFont="1" applyBorder="1" applyAlignment="1" applyProtection="1">
      <alignment horizontal="justify" vertical="center" wrapText="1"/>
      <protection locked="0"/>
    </xf>
    <xf numFmtId="0" fontId="14" fillId="0" borderId="0" xfId="0" applyFont="1" applyAlignment="1" applyProtection="1">
      <alignment horizontal="justify" vertical="center" wrapText="1"/>
      <protection locked="0"/>
    </xf>
    <xf numFmtId="0" fontId="14" fillId="0" borderId="2" xfId="0" applyFont="1" applyBorder="1" applyAlignment="1" applyProtection="1">
      <alignment horizontal="justify" vertical="center" wrapText="1"/>
      <protection locked="0"/>
    </xf>
    <xf numFmtId="2" fontId="38" fillId="0" borderId="0" xfId="3" applyNumberFormat="1" applyFont="1" applyAlignment="1">
      <alignment horizontal="center" vertical="top"/>
    </xf>
    <xf numFmtId="2" fontId="36" fillId="0" borderId="0" xfId="3" applyNumberFormat="1" applyFont="1" applyAlignment="1">
      <alignment horizontal="center" vertical="top"/>
    </xf>
    <xf numFmtId="0" fontId="36" fillId="0" borderId="14" xfId="2" applyFont="1" applyBorder="1" applyAlignment="1">
      <alignment horizontal="center"/>
    </xf>
    <xf numFmtId="0" fontId="17" fillId="0" borderId="0" xfId="0" applyFont="1" applyAlignment="1">
      <alignment horizontal="center"/>
    </xf>
    <xf numFmtId="0" fontId="50" fillId="0" borderId="23" xfId="0" applyFont="1" applyBorder="1" applyAlignment="1">
      <alignment horizontal="right" vertical="center"/>
    </xf>
    <xf numFmtId="0" fontId="50" fillId="0" borderId="25" xfId="0" applyFont="1" applyBorder="1" applyAlignment="1">
      <alignment horizontal="right" vertical="center"/>
    </xf>
    <xf numFmtId="0" fontId="48" fillId="0" borderId="23" xfId="0" applyFont="1" applyBorder="1" applyAlignment="1">
      <alignment horizontal="center" vertical="center" wrapText="1"/>
    </xf>
    <xf numFmtId="0" fontId="48" fillId="0" borderId="24" xfId="0" applyFont="1" applyBorder="1" applyAlignment="1">
      <alignment horizontal="center" vertical="center" wrapText="1"/>
    </xf>
    <xf numFmtId="0" fontId="48" fillId="0" borderId="25" xfId="0" applyFont="1" applyBorder="1" applyAlignment="1">
      <alignment horizontal="center" vertical="center" wrapText="1"/>
    </xf>
    <xf numFmtId="0" fontId="38" fillId="0" borderId="9" xfId="2" applyFont="1" applyBorder="1" applyAlignment="1">
      <alignment horizontal="left" vertical="top" wrapText="1"/>
    </xf>
    <xf numFmtId="0" fontId="38" fillId="0" borderId="0" xfId="2" applyFont="1" applyAlignment="1">
      <alignment horizontal="left" vertical="top" wrapText="1"/>
    </xf>
    <xf numFmtId="0" fontId="38" fillId="0" borderId="3" xfId="2" applyFont="1" applyBorder="1" applyAlignment="1">
      <alignment horizontal="left" vertical="top" wrapText="1"/>
    </xf>
    <xf numFmtId="0" fontId="41" fillId="0" borderId="15" xfId="0" applyFont="1" applyBorder="1" applyAlignment="1">
      <alignment horizontal="center"/>
    </xf>
    <xf numFmtId="0" fontId="41" fillId="0" borderId="14" xfId="0" applyFont="1" applyBorder="1" applyAlignment="1">
      <alignment horizontal="center"/>
    </xf>
    <xf numFmtId="0" fontId="41" fillId="0" borderId="19" xfId="0" applyFont="1" applyBorder="1" applyAlignment="1">
      <alignment horizontal="center"/>
    </xf>
    <xf numFmtId="0" fontId="13" fillId="0" borderId="15" xfId="0" applyFont="1" applyBorder="1" applyAlignment="1">
      <alignment horizontal="center"/>
    </xf>
    <xf numFmtId="0" fontId="13" fillId="0" borderId="14" xfId="0" applyFont="1" applyBorder="1" applyAlignment="1">
      <alignment horizontal="center"/>
    </xf>
    <xf numFmtId="0" fontId="13" fillId="0" borderId="19" xfId="0" applyFont="1" applyBorder="1" applyAlignment="1">
      <alignment horizontal="center"/>
    </xf>
    <xf numFmtId="0" fontId="41" fillId="0" borderId="14" xfId="0" applyFont="1" applyBorder="1" applyAlignment="1">
      <alignment horizontal="center" vertical="center"/>
    </xf>
    <xf numFmtId="0" fontId="41" fillId="0" borderId="19" xfId="0" applyFont="1" applyBorder="1" applyAlignment="1">
      <alignment horizontal="center" vertical="center"/>
    </xf>
    <xf numFmtId="0" fontId="51" fillId="0" borderId="0" xfId="0" applyFont="1" applyAlignment="1">
      <alignment horizontal="center" vertical="top" wrapText="1"/>
    </xf>
    <xf numFmtId="0" fontId="36" fillId="0" borderId="1" xfId="0" applyFont="1" applyBorder="1" applyAlignment="1">
      <alignment horizontal="center" vertical="center"/>
    </xf>
    <xf numFmtId="0" fontId="36" fillId="0" borderId="0" xfId="0" applyFont="1" applyAlignment="1">
      <alignment horizontal="center" vertical="center"/>
    </xf>
    <xf numFmtId="2" fontId="51" fillId="0" borderId="0" xfId="3" applyNumberFormat="1" applyFont="1" applyAlignment="1">
      <alignment horizontal="center" vertical="top"/>
    </xf>
    <xf numFmtId="0" fontId="52" fillId="0" borderId="0" xfId="0" applyFont="1" applyAlignment="1">
      <alignment horizontal="center" vertical="top"/>
    </xf>
    <xf numFmtId="0" fontId="13" fillId="0" borderId="15" xfId="0" applyFont="1" applyBorder="1" applyAlignment="1">
      <alignment horizontal="left" vertical="center"/>
    </xf>
    <xf numFmtId="0" fontId="13" fillId="0" borderId="14" xfId="0" applyFont="1" applyBorder="1" applyAlignment="1">
      <alignment horizontal="left" vertical="center"/>
    </xf>
    <xf numFmtId="0" fontId="53" fillId="0" borderId="0" xfId="0" applyFont="1" applyAlignment="1">
      <alignment horizontal="right" vertical="top"/>
    </xf>
    <xf numFmtId="2" fontId="41" fillId="0" borderId="0" xfId="3" applyNumberFormat="1" applyFont="1" applyAlignment="1">
      <alignment horizontal="right" vertical="top"/>
    </xf>
    <xf numFmtId="0" fontId="54" fillId="0" borderId="23" xfId="0" applyFont="1" applyBorder="1" applyAlignment="1" applyProtection="1">
      <alignment horizontal="left" vertical="center" wrapText="1"/>
      <protection locked="0"/>
    </xf>
    <xf numFmtId="0" fontId="54" fillId="0" borderId="24" xfId="0" applyFont="1" applyBorder="1" applyAlignment="1" applyProtection="1">
      <alignment horizontal="left" vertical="center" wrapText="1"/>
      <protection locked="0"/>
    </xf>
    <xf numFmtId="0" fontId="54" fillId="0" borderId="25" xfId="0" applyFont="1" applyBorder="1" applyAlignment="1" applyProtection="1">
      <alignment horizontal="left" vertical="center" wrapText="1"/>
      <protection locked="0"/>
    </xf>
    <xf numFmtId="0" fontId="41" fillId="0" borderId="15" xfId="0" applyFont="1" applyBorder="1" applyAlignment="1">
      <alignment horizontal="center" vertical="center"/>
    </xf>
    <xf numFmtId="0" fontId="43" fillId="0" borderId="15" xfId="0" applyFont="1" applyBorder="1" applyAlignment="1">
      <alignment horizontal="center" vertical="center"/>
    </xf>
    <xf numFmtId="0" fontId="43" fillId="0" borderId="14" xfId="0" applyFont="1" applyBorder="1" applyAlignment="1">
      <alignment horizontal="center" vertical="center"/>
    </xf>
    <xf numFmtId="0" fontId="43" fillId="0" borderId="19" xfId="0" applyFont="1" applyBorder="1" applyAlignment="1">
      <alignment horizontal="center" vertical="center"/>
    </xf>
    <xf numFmtId="0" fontId="49" fillId="0" borderId="29" xfId="0" applyFont="1" applyBorder="1" applyAlignment="1">
      <alignment horizontal="center" vertical="center"/>
    </xf>
    <xf numFmtId="0" fontId="49" fillId="0" borderId="30" xfId="0" applyFont="1" applyBorder="1" applyAlignment="1">
      <alignment horizontal="center" vertical="center"/>
    </xf>
    <xf numFmtId="0" fontId="49" fillId="0" borderId="12" xfId="0" applyFont="1" applyBorder="1" applyAlignment="1">
      <alignment horizontal="center" vertical="center"/>
    </xf>
    <xf numFmtId="0" fontId="14" fillId="0" borderId="17" xfId="0" applyFont="1" applyBorder="1" applyAlignment="1">
      <alignment horizontal="center"/>
    </xf>
    <xf numFmtId="0" fontId="14" fillId="0" borderId="13" xfId="0" applyFont="1" applyBorder="1" applyAlignment="1">
      <alignment horizontal="center"/>
    </xf>
    <xf numFmtId="0" fontId="14" fillId="0" borderId="18" xfId="0" applyFont="1" applyBorder="1" applyAlignment="1">
      <alignment horizontal="center"/>
    </xf>
    <xf numFmtId="0" fontId="42" fillId="0" borderId="23" xfId="0" applyFont="1" applyBorder="1" applyAlignment="1">
      <alignment horizontal="right" vertical="center"/>
    </xf>
    <xf numFmtId="0" fontId="42" fillId="0" borderId="25" xfId="0" applyFont="1" applyBorder="1" applyAlignment="1">
      <alignment horizontal="right" vertical="center"/>
    </xf>
    <xf numFmtId="0" fontId="55" fillId="0" borderId="23" xfId="0" applyFont="1" applyBorder="1" applyAlignment="1">
      <alignment horizontal="center" vertical="center"/>
    </xf>
    <xf numFmtId="0" fontId="55" fillId="0" borderId="24" xfId="0" applyFont="1" applyBorder="1" applyAlignment="1">
      <alignment horizontal="center" vertical="center"/>
    </xf>
    <xf numFmtId="0" fontId="55" fillId="0" borderId="25" xfId="0" applyFont="1" applyBorder="1" applyAlignment="1">
      <alignment horizontal="center" vertical="center"/>
    </xf>
    <xf numFmtId="0" fontId="38" fillId="0" borderId="13" xfId="0" applyFont="1" applyBorder="1" applyAlignment="1">
      <alignment horizontal="center" vertical="top" wrapText="1"/>
    </xf>
    <xf numFmtId="2" fontId="41" fillId="0" borderId="0" xfId="3" applyNumberFormat="1" applyFont="1" applyAlignment="1">
      <alignment horizontal="center" vertical="top"/>
    </xf>
    <xf numFmtId="0" fontId="41" fillId="0" borderId="1" xfId="0" applyFont="1" applyBorder="1" applyAlignment="1">
      <alignment horizontal="center" vertical="top" wrapText="1"/>
    </xf>
    <xf numFmtId="0" fontId="41" fillId="0" borderId="0" xfId="0" applyFont="1" applyAlignment="1">
      <alignment horizontal="center" vertical="top" wrapText="1"/>
    </xf>
    <xf numFmtId="43" fontId="41" fillId="0" borderId="0" xfId="1" applyFont="1" applyFill="1" applyBorder="1" applyAlignment="1" applyProtection="1">
      <alignment horizontal="left"/>
    </xf>
    <xf numFmtId="43" fontId="41" fillId="0" borderId="2" xfId="1" applyFont="1" applyFill="1" applyBorder="1" applyAlignment="1" applyProtection="1">
      <alignment horizontal="left"/>
    </xf>
    <xf numFmtId="0" fontId="41" fillId="0" borderId="1" xfId="0" applyFont="1" applyBorder="1" applyAlignment="1">
      <alignment horizontal="left" vertical="top" wrapText="1"/>
    </xf>
    <xf numFmtId="0" fontId="41" fillId="0" borderId="0" xfId="0" applyFont="1" applyAlignment="1">
      <alignment horizontal="left" vertical="top" wrapText="1"/>
    </xf>
    <xf numFmtId="0" fontId="38" fillId="0" borderId="0" xfId="0" applyFont="1" applyBorder="1" applyAlignment="1">
      <alignment horizontal="center"/>
    </xf>
    <xf numFmtId="2" fontId="33" fillId="0" borderId="0" xfId="0" applyNumberFormat="1" applyFont="1" applyBorder="1" applyProtection="1">
      <protection locked="0"/>
    </xf>
    <xf numFmtId="0" fontId="36" fillId="0" borderId="0" xfId="0" applyFont="1" applyBorder="1" applyProtection="1">
      <protection locked="0"/>
    </xf>
  </cellXfs>
  <cellStyles count="4">
    <cellStyle name="Comma" xfId="1" builtinId="3"/>
    <cellStyle name="Normal" xfId="0" builtinId="0"/>
    <cellStyle name="Normal 2 2" xfId="2" xr:uid="{00000000-0005-0000-0000-000002000000}"/>
    <cellStyle name="Normal_COMPOUND WALL"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349111</xdr:colOff>
      <xdr:row>19</xdr:row>
      <xdr:rowOff>0</xdr:rowOff>
    </xdr:from>
    <xdr:to>
      <xdr:col>7</xdr:col>
      <xdr:colOff>308397</xdr:colOff>
      <xdr:row>20</xdr:row>
      <xdr:rowOff>8433</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3677477" y="4439478"/>
          <a:ext cx="1457739" cy="231913"/>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347870</xdr:colOff>
      <xdr:row>20</xdr:row>
      <xdr:rowOff>8365</xdr:rowOff>
    </xdr:from>
    <xdr:to>
      <xdr:col>7</xdr:col>
      <xdr:colOff>314777</xdr:colOff>
      <xdr:row>21</xdr:row>
      <xdr:rowOff>49840</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3685761" y="4671391"/>
          <a:ext cx="1457739" cy="306458"/>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273906</xdr:colOff>
      <xdr:row>19</xdr:row>
      <xdr:rowOff>98149</xdr:rowOff>
    </xdr:from>
    <xdr:to>
      <xdr:col>5</xdr:col>
      <xdr:colOff>340499</xdr:colOff>
      <xdr:row>19</xdr:row>
      <xdr:rowOff>114715</xdr:rowOff>
    </xdr:to>
    <xdr:cxnSp macro="">
      <xdr:nvCxnSpPr>
        <xdr:cNvPr id="7" name="Straight Arrow Connector 6">
          <a:extLst>
            <a:ext uri="{FF2B5EF4-FFF2-40B4-BE49-F238E27FC236}">
              <a16:creationId xmlns:a16="http://schemas.microsoft.com/office/drawing/2014/main" id="{00000000-0008-0000-0400-000007000000}"/>
            </a:ext>
          </a:extLst>
        </xdr:cNvPr>
        <xdr:cNvCxnSpPr/>
      </xdr:nvCxnSpPr>
      <xdr:spPr>
        <a:xfrm flipV="1">
          <a:off x="3594652" y="4547152"/>
          <a:ext cx="455544" cy="828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115957</xdr:colOff>
      <xdr:row>20</xdr:row>
      <xdr:rowOff>198783</xdr:rowOff>
    </xdr:from>
    <xdr:to>
      <xdr:col>5</xdr:col>
      <xdr:colOff>267228</xdr:colOff>
      <xdr:row>20</xdr:row>
      <xdr:rowOff>207066</xdr:rowOff>
    </xdr:to>
    <xdr:cxnSp macro="">
      <xdr:nvCxnSpPr>
        <xdr:cNvPr id="9" name="Straight Arrow Connector 8">
          <a:extLst>
            <a:ext uri="{FF2B5EF4-FFF2-40B4-BE49-F238E27FC236}">
              <a16:creationId xmlns:a16="http://schemas.microsoft.com/office/drawing/2014/main" id="{00000000-0008-0000-0400-000009000000}"/>
            </a:ext>
          </a:extLst>
        </xdr:cNvPr>
        <xdr:cNvCxnSpPr/>
      </xdr:nvCxnSpPr>
      <xdr:spPr>
        <a:xfrm>
          <a:off x="3453848" y="4837044"/>
          <a:ext cx="513522" cy="828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Rushi\Desktop\Khokhar\Modasa%20B%20V%20Shah\Slab%20Drain\ESTRWB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
      <sheetName val="MEAS"/>
      <sheetName val="R.A."/>
      <sheetName val="MTCOST"/>
      <sheetName val="lead"/>
      <sheetName val="face"/>
      <sheetName val="GD."/>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row r="2">
          <cell r="B2" t="str">
            <v>NAME OF WORK</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3"/>
  <sheetViews>
    <sheetView view="pageBreakPreview" topLeftCell="A25" zoomScaleNormal="100" zoomScaleSheetLayoutView="100" workbookViewId="0">
      <selection activeCell="B35" sqref="B35:D35"/>
    </sheetView>
  </sheetViews>
  <sheetFormatPr defaultColWidth="9.109375" defaultRowHeight="13.2"/>
  <cols>
    <col min="1" max="9" width="10.5546875" style="3" customWidth="1"/>
    <col min="10" max="16384" width="9.109375" style="3"/>
  </cols>
  <sheetData>
    <row r="1" spans="1:15" ht="30.75" customHeight="1" thickBot="1">
      <c r="A1" s="290" t="s">
        <v>126</v>
      </c>
      <c r="B1" s="291"/>
      <c r="C1" s="291"/>
      <c r="D1" s="291"/>
      <c r="E1" s="291"/>
      <c r="F1" s="291"/>
      <c r="G1" s="291"/>
      <c r="H1" s="291"/>
      <c r="I1" s="292"/>
    </row>
    <row r="2" spans="1:15">
      <c r="A2" s="4"/>
      <c r="I2" s="5"/>
    </row>
    <row r="3" spans="1:15" ht="15">
      <c r="A3" s="263" t="s">
        <v>5</v>
      </c>
      <c r="B3" s="264"/>
      <c r="C3" s="264"/>
      <c r="D3" s="22" t="s">
        <v>127</v>
      </c>
      <c r="E3" s="23"/>
      <c r="F3" s="30" t="s">
        <v>128</v>
      </c>
      <c r="G3" s="30" t="s">
        <v>129</v>
      </c>
      <c r="H3" s="22" t="s">
        <v>130</v>
      </c>
      <c r="J3" s="300"/>
      <c r="K3" s="300"/>
      <c r="L3" s="300"/>
      <c r="M3" s="300"/>
      <c r="N3" s="300"/>
      <c r="O3" s="301"/>
    </row>
    <row r="4" spans="1:15" ht="15">
      <c r="A4" s="20"/>
      <c r="B4" s="21"/>
      <c r="C4" s="21"/>
      <c r="D4" s="24"/>
      <c r="E4" s="25"/>
      <c r="F4" s="6"/>
      <c r="G4" s="6"/>
      <c r="H4" s="6"/>
      <c r="I4" s="7"/>
    </row>
    <row r="5" spans="1:15" ht="15">
      <c r="A5" s="263" t="s">
        <v>6</v>
      </c>
      <c r="B5" s="264"/>
      <c r="C5" s="264"/>
      <c r="D5" s="22" t="s">
        <v>131</v>
      </c>
      <c r="E5" s="23"/>
      <c r="F5" s="30" t="s">
        <v>132</v>
      </c>
      <c r="G5" s="22" t="s">
        <v>134</v>
      </c>
      <c r="I5" s="30" t="s">
        <v>132</v>
      </c>
      <c r="J5" s="298"/>
      <c r="K5" s="298"/>
      <c r="L5" s="298"/>
      <c r="M5" s="298"/>
      <c r="N5" s="298"/>
      <c r="O5" s="299"/>
    </row>
    <row r="6" spans="1:15" ht="15">
      <c r="A6" s="20"/>
      <c r="B6" s="21"/>
      <c r="C6" s="21"/>
      <c r="D6" s="22" t="s">
        <v>133</v>
      </c>
      <c r="E6" s="25"/>
      <c r="F6" s="6"/>
      <c r="G6" s="6"/>
      <c r="H6" s="6"/>
      <c r="I6" s="7"/>
    </row>
    <row r="7" spans="1:15" ht="15">
      <c r="A7" s="263" t="s">
        <v>7</v>
      </c>
      <c r="B7" s="264"/>
      <c r="C7" s="264"/>
      <c r="D7" s="6"/>
      <c r="E7" s="6"/>
      <c r="F7" s="6"/>
      <c r="G7" s="6"/>
      <c r="H7" s="6"/>
      <c r="I7" s="7"/>
    </row>
    <row r="8" spans="1:15" ht="15">
      <c r="A8" s="20"/>
      <c r="B8" s="21"/>
      <c r="C8" s="21"/>
      <c r="D8" s="6"/>
      <c r="E8" s="6"/>
      <c r="F8" s="6"/>
      <c r="G8" s="6"/>
      <c r="H8" s="6"/>
      <c r="I8" s="7"/>
    </row>
    <row r="9" spans="1:15" ht="17.399999999999999">
      <c r="A9" s="263" t="s">
        <v>8</v>
      </c>
      <c r="B9" s="264"/>
      <c r="C9" s="264"/>
      <c r="D9" s="302" t="s">
        <v>121</v>
      </c>
      <c r="E9" s="302"/>
      <c r="F9" s="302"/>
      <c r="G9" s="302"/>
      <c r="H9" s="302"/>
      <c r="I9" s="303"/>
      <c r="J9" s="8"/>
    </row>
    <row r="10" spans="1:15" ht="15">
      <c r="A10" s="20"/>
      <c r="B10" s="21"/>
      <c r="C10" s="21"/>
      <c r="D10" s="6"/>
      <c r="E10" s="6"/>
      <c r="F10" s="6"/>
      <c r="G10" s="6"/>
      <c r="H10" s="6"/>
      <c r="I10" s="7"/>
    </row>
    <row r="11" spans="1:15" ht="15">
      <c r="A11" s="263" t="s">
        <v>9</v>
      </c>
      <c r="B11" s="264"/>
      <c r="C11" s="264"/>
      <c r="D11" s="6"/>
      <c r="E11" s="6"/>
      <c r="F11" s="6"/>
      <c r="G11" s="6"/>
      <c r="H11" s="6"/>
      <c r="I11" s="7"/>
    </row>
    <row r="12" spans="1:15" ht="15">
      <c r="A12" s="20"/>
      <c r="B12" s="21"/>
      <c r="C12" s="21"/>
      <c r="D12" s="6"/>
      <c r="E12" s="6"/>
      <c r="F12" s="6"/>
      <c r="G12" s="6"/>
      <c r="H12" s="6"/>
      <c r="I12" s="7"/>
    </row>
    <row r="13" spans="1:15" ht="15">
      <c r="A13" s="263" t="s">
        <v>10</v>
      </c>
      <c r="B13" s="264"/>
      <c r="C13" s="264"/>
      <c r="D13" s="6"/>
      <c r="E13" s="6"/>
      <c r="F13" s="6"/>
      <c r="G13" s="6"/>
      <c r="H13" s="6"/>
      <c r="I13" s="7"/>
    </row>
    <row r="14" spans="1:15" ht="15">
      <c r="A14" s="20"/>
      <c r="B14" s="21"/>
      <c r="C14" s="21"/>
      <c r="D14" s="6"/>
      <c r="E14" s="6"/>
      <c r="F14" s="6"/>
      <c r="G14" s="6"/>
      <c r="H14" s="6"/>
      <c r="I14" s="7"/>
    </row>
    <row r="15" spans="1:15" ht="15">
      <c r="A15" s="263" t="s">
        <v>11</v>
      </c>
      <c r="B15" s="264"/>
      <c r="C15" s="264"/>
      <c r="D15" s="6"/>
      <c r="E15" s="6"/>
      <c r="F15" s="6"/>
      <c r="G15" s="6"/>
      <c r="H15" s="6"/>
      <c r="I15" s="7"/>
    </row>
    <row r="16" spans="1:15" ht="15">
      <c r="A16" s="20"/>
      <c r="B16" s="21"/>
      <c r="C16" s="21"/>
      <c r="D16" s="6"/>
      <c r="E16" s="6"/>
      <c r="F16" s="6"/>
      <c r="G16" s="6"/>
      <c r="H16" s="6"/>
      <c r="I16" s="7"/>
    </row>
    <row r="17" spans="1:19" ht="15">
      <c r="A17" s="263" t="s">
        <v>12</v>
      </c>
      <c r="B17" s="264"/>
      <c r="C17" s="264"/>
      <c r="D17" s="6"/>
      <c r="E17" s="6"/>
      <c r="F17" s="6"/>
      <c r="G17" s="6"/>
      <c r="H17" s="6"/>
      <c r="I17" s="7"/>
    </row>
    <row r="18" spans="1:19" ht="15">
      <c r="A18" s="9"/>
      <c r="B18" s="10"/>
      <c r="C18" s="10"/>
      <c r="D18" s="6"/>
      <c r="E18" s="6"/>
      <c r="F18" s="6"/>
      <c r="G18" s="6"/>
      <c r="H18" s="6"/>
      <c r="I18" s="7"/>
    </row>
    <row r="19" spans="1:19" s="32" customFormat="1" ht="15" customHeight="1">
      <c r="A19" s="274" t="s">
        <v>138</v>
      </c>
      <c r="B19" s="274"/>
      <c r="C19" s="274"/>
      <c r="D19" s="274"/>
      <c r="E19" s="274"/>
      <c r="F19" s="274"/>
      <c r="G19" s="274"/>
      <c r="H19" s="296" t="s">
        <v>137</v>
      </c>
      <c r="I19" s="297"/>
      <c r="J19" s="276"/>
      <c r="K19" s="277"/>
      <c r="L19" s="277"/>
      <c r="M19" s="277"/>
      <c r="N19" s="277"/>
      <c r="O19" s="277"/>
      <c r="P19" s="277"/>
      <c r="Q19" s="277"/>
      <c r="R19" s="277"/>
    </row>
    <row r="20" spans="1:19" s="33" customFormat="1" ht="28.8" customHeight="1">
      <c r="A20" s="274" t="s">
        <v>139</v>
      </c>
      <c r="B20" s="274"/>
      <c r="C20" s="274"/>
      <c r="D20" s="274"/>
      <c r="E20" s="274"/>
      <c r="F20" s="274"/>
      <c r="G20" s="274"/>
      <c r="H20" s="274"/>
      <c r="I20" s="293"/>
      <c r="J20" s="276"/>
      <c r="K20" s="277"/>
      <c r="L20" s="277"/>
      <c r="M20" s="277"/>
      <c r="N20" s="277"/>
      <c r="O20" s="277"/>
      <c r="P20" s="277"/>
      <c r="Q20" s="277"/>
      <c r="R20" s="277"/>
    </row>
    <row r="21" spans="1:19" ht="45" customHeight="1">
      <c r="A21" s="294" t="s">
        <v>82</v>
      </c>
      <c r="B21" s="295"/>
      <c r="C21" s="272" t="s">
        <v>124</v>
      </c>
      <c r="D21" s="272"/>
      <c r="E21" s="272"/>
      <c r="F21" s="272"/>
      <c r="G21" s="272"/>
      <c r="H21" s="272"/>
      <c r="I21" s="273"/>
    </row>
    <row r="22" spans="1:19" ht="17.25" customHeight="1">
      <c r="A22" s="265" t="s">
        <v>13</v>
      </c>
      <c r="B22" s="266"/>
      <c r="C22" s="266"/>
      <c r="D22" s="266"/>
      <c r="E22" s="266"/>
      <c r="F22" s="266"/>
      <c r="G22" s="275">
        <v>100000</v>
      </c>
      <c r="H22" s="275"/>
      <c r="I22" s="11"/>
    </row>
    <row r="23" spans="1:19" ht="15">
      <c r="A23" s="26" t="s">
        <v>14</v>
      </c>
      <c r="B23" s="27"/>
      <c r="C23" s="27"/>
      <c r="D23" s="6"/>
      <c r="E23" s="6"/>
      <c r="F23" s="6"/>
      <c r="G23" s="6"/>
      <c r="H23" s="6"/>
      <c r="I23" s="7"/>
    </row>
    <row r="24" spans="1:19" ht="15">
      <c r="A24" s="26"/>
      <c r="B24" s="27"/>
      <c r="C24" s="27"/>
      <c r="D24" s="27" t="s">
        <v>15</v>
      </c>
      <c r="E24" s="6"/>
      <c r="F24" s="6"/>
      <c r="G24" s="6"/>
      <c r="H24" s="6"/>
      <c r="I24" s="7"/>
    </row>
    <row r="25" spans="1:19" ht="15">
      <c r="A25" s="26"/>
      <c r="B25" s="27"/>
      <c r="C25" s="27"/>
      <c r="D25" s="6"/>
      <c r="E25" s="6"/>
      <c r="F25" s="6"/>
      <c r="G25" s="6"/>
      <c r="H25" s="6"/>
      <c r="I25" s="7"/>
    </row>
    <row r="26" spans="1:19" ht="15">
      <c r="A26" s="26" t="s">
        <v>16</v>
      </c>
      <c r="B26" s="27"/>
      <c r="C26" s="27"/>
      <c r="D26" s="6"/>
      <c r="E26" s="6"/>
      <c r="F26" s="6"/>
      <c r="G26" s="6"/>
      <c r="H26" s="6"/>
      <c r="I26" s="7"/>
    </row>
    <row r="27" spans="1:19" ht="15">
      <c r="A27" s="26"/>
      <c r="B27" s="27"/>
      <c r="C27" s="27"/>
      <c r="D27" s="27" t="s">
        <v>17</v>
      </c>
      <c r="E27" s="6"/>
      <c r="F27" s="6"/>
      <c r="G27" s="6"/>
      <c r="H27" s="6"/>
      <c r="I27" s="7"/>
    </row>
    <row r="28" spans="1:19" ht="15">
      <c r="A28" s="284" t="s">
        <v>27</v>
      </c>
      <c r="B28" s="285"/>
      <c r="C28" s="285"/>
      <c r="D28" s="282" t="s">
        <v>122</v>
      </c>
      <c r="E28" s="282"/>
      <c r="F28" s="282"/>
      <c r="G28" s="282"/>
      <c r="H28" s="282"/>
      <c r="I28" s="283"/>
    </row>
    <row r="29" spans="1:19" ht="15">
      <c r="A29" s="26"/>
      <c r="B29" s="27"/>
      <c r="C29" s="27"/>
      <c r="D29" s="6"/>
      <c r="E29" s="6"/>
      <c r="F29" s="6"/>
      <c r="G29" s="6"/>
      <c r="H29" s="6"/>
      <c r="I29" s="7"/>
    </row>
    <row r="30" spans="1:19" ht="15">
      <c r="A30" s="284" t="s">
        <v>0</v>
      </c>
      <c r="B30" s="285"/>
      <c r="C30" s="285"/>
      <c r="D30" s="282" t="str">
        <f>D28</f>
        <v>MR.V.A.THAKOR. A.A.E.</v>
      </c>
      <c r="E30" s="282"/>
      <c r="F30" s="282"/>
      <c r="G30" s="282"/>
      <c r="H30" s="282"/>
      <c r="I30" s="283"/>
    </row>
    <row r="31" spans="1:19" ht="17.399999999999999" customHeight="1">
      <c r="A31" s="26"/>
      <c r="B31" s="27"/>
      <c r="C31" s="27"/>
      <c r="D31" s="6"/>
      <c r="E31" s="6"/>
      <c r="F31" s="6"/>
      <c r="G31" s="6"/>
      <c r="H31" s="6"/>
      <c r="I31" s="7"/>
      <c r="K31" s="259"/>
      <c r="L31" s="259"/>
      <c r="M31" s="259"/>
      <c r="N31" s="259"/>
      <c r="O31" s="259"/>
      <c r="P31" s="259"/>
      <c r="Q31" s="259"/>
      <c r="R31" s="259"/>
      <c r="S31" s="259"/>
    </row>
    <row r="32" spans="1:19" ht="15">
      <c r="A32" s="267" t="s">
        <v>18</v>
      </c>
      <c r="B32" s="268"/>
      <c r="C32" s="268"/>
      <c r="D32" s="280"/>
      <c r="E32" s="280"/>
      <c r="F32" s="280"/>
      <c r="G32" s="280"/>
      <c r="H32" s="280"/>
      <c r="I32" s="281"/>
      <c r="K32" s="260"/>
      <c r="L32" s="260"/>
      <c r="M32" s="260"/>
      <c r="N32" s="260"/>
      <c r="O32" s="260"/>
      <c r="P32" s="260"/>
      <c r="Q32" s="260"/>
      <c r="R32" s="260"/>
      <c r="S32" s="260"/>
    </row>
    <row r="33" spans="1:19" ht="25.5" customHeight="1">
      <c r="A33" s="287" t="s">
        <v>60</v>
      </c>
      <c r="B33" s="288"/>
      <c r="C33" s="288"/>
      <c r="D33" s="288"/>
      <c r="E33" s="288"/>
      <c r="F33" s="288"/>
      <c r="G33" s="288"/>
      <c r="H33" s="288"/>
      <c r="I33" s="289"/>
      <c r="K33" s="260"/>
      <c r="L33" s="260"/>
      <c r="M33" s="260"/>
      <c r="N33" s="260"/>
      <c r="O33" s="260"/>
      <c r="P33" s="260"/>
      <c r="Q33" s="260"/>
      <c r="R33" s="260"/>
      <c r="S33" s="260"/>
    </row>
    <row r="34" spans="1:19" ht="42" customHeight="1">
      <c r="A34" s="28" t="s">
        <v>78</v>
      </c>
      <c r="B34" s="31">
        <v>6</v>
      </c>
      <c r="C34" s="261" t="s">
        <v>123</v>
      </c>
      <c r="D34" s="261"/>
      <c r="E34" s="261"/>
      <c r="F34" s="261"/>
      <c r="G34" s="261"/>
      <c r="H34" s="261"/>
      <c r="I34" s="262"/>
      <c r="K34" s="260"/>
      <c r="L34" s="260"/>
      <c r="M34" s="260"/>
      <c r="N34" s="260"/>
      <c r="O34" s="260"/>
      <c r="P34" s="260"/>
      <c r="Q34" s="260"/>
      <c r="R34" s="260"/>
      <c r="S34" s="260"/>
    </row>
    <row r="35" spans="1:19" ht="42" customHeight="1">
      <c r="A35" s="28" t="s">
        <v>118</v>
      </c>
      <c r="B35" s="278" t="s">
        <v>125</v>
      </c>
      <c r="C35" s="278"/>
      <c r="D35" s="278"/>
      <c r="E35" s="35" t="s">
        <v>119</v>
      </c>
      <c r="F35" s="261" t="str">
        <f>D9</f>
        <v>ધારા ફંડ વર્ષ ૨૦૨૫-૨૬.</v>
      </c>
      <c r="G35" s="261"/>
      <c r="H35" s="261"/>
      <c r="I35" s="262"/>
      <c r="K35" s="260"/>
      <c r="L35" s="260"/>
      <c r="M35" s="260"/>
      <c r="N35" s="260"/>
      <c r="O35" s="260"/>
      <c r="P35" s="260"/>
      <c r="Q35" s="260"/>
      <c r="R35" s="260"/>
      <c r="S35" s="260"/>
    </row>
    <row r="36" spans="1:19" ht="91.5" customHeight="1">
      <c r="A36" s="269" t="s">
        <v>135</v>
      </c>
      <c r="B36" s="270"/>
      <c r="C36" s="270"/>
      <c r="D36" s="270"/>
      <c r="E36" s="270"/>
      <c r="F36" s="270"/>
      <c r="G36" s="270"/>
      <c r="H36" s="270"/>
      <c r="I36" s="271"/>
      <c r="K36" s="260"/>
      <c r="L36" s="260"/>
      <c r="M36" s="260"/>
      <c r="N36" s="260"/>
      <c r="O36" s="260"/>
      <c r="P36" s="260"/>
      <c r="Q36" s="260"/>
      <c r="R36" s="260"/>
      <c r="S36" s="260"/>
    </row>
    <row r="37" spans="1:19" ht="23.4" customHeight="1">
      <c r="A37" s="12"/>
      <c r="B37" s="6"/>
      <c r="C37" s="6"/>
      <c r="D37" s="6"/>
      <c r="E37" s="6"/>
      <c r="F37" s="6"/>
      <c r="G37" s="6"/>
      <c r="H37" s="13"/>
      <c r="I37" s="7"/>
    </row>
    <row r="38" spans="1:19" ht="15.6">
      <c r="A38" s="4"/>
      <c r="D38" s="6"/>
      <c r="E38" s="6"/>
      <c r="F38" s="286" t="s">
        <v>70</v>
      </c>
      <c r="G38" s="286"/>
      <c r="H38" s="286"/>
      <c r="I38" s="14"/>
    </row>
    <row r="39" spans="1:19" ht="15.6">
      <c r="A39" s="4"/>
      <c r="D39" s="6"/>
      <c r="E39" s="6"/>
      <c r="F39" s="29" t="s">
        <v>136</v>
      </c>
      <c r="G39" s="29"/>
      <c r="H39" s="34" t="str">
        <f>H19</f>
        <v>Thasra</v>
      </c>
      <c r="I39" s="14"/>
    </row>
    <row r="40" spans="1:19" ht="15.6" thickBot="1">
      <c r="A40" s="15"/>
      <c r="B40" s="16"/>
      <c r="C40" s="16"/>
      <c r="D40" s="17"/>
      <c r="E40" s="17"/>
      <c r="F40" s="279"/>
      <c r="G40" s="279"/>
      <c r="H40" s="279"/>
      <c r="I40" s="18"/>
    </row>
    <row r="41" spans="1:19">
      <c r="A41" s="19"/>
      <c r="B41" s="19"/>
      <c r="C41" s="19"/>
      <c r="D41" s="19"/>
      <c r="E41" s="19"/>
      <c r="F41" s="19"/>
      <c r="G41" s="19"/>
      <c r="H41" s="19"/>
      <c r="I41" s="19"/>
    </row>
    <row r="42" spans="1:19">
      <c r="A42" s="19"/>
      <c r="B42" s="19"/>
      <c r="C42" s="19"/>
      <c r="D42" s="19"/>
      <c r="E42" s="19"/>
      <c r="F42" s="19"/>
      <c r="G42" s="19"/>
      <c r="H42" s="19"/>
      <c r="I42" s="19"/>
    </row>
    <row r="43" spans="1:19">
      <c r="A43" s="19"/>
      <c r="B43" s="19"/>
      <c r="C43" s="19"/>
      <c r="D43" s="19"/>
      <c r="E43" s="19"/>
      <c r="F43" s="19"/>
      <c r="G43" s="19"/>
      <c r="H43" s="19"/>
      <c r="I43" s="19"/>
    </row>
  </sheetData>
  <protectedRanges>
    <protectedRange sqref="J19:R19" name="Range1"/>
  </protectedRanges>
  <customSheetViews>
    <customSheetView guid="{D6DF09BD-97F5-4B8B-B461-A7BC9875A0D8}" showPageBreaks="1" printArea="1" hiddenRows="1" view="pageBreakPreview" topLeftCell="A28">
      <selection activeCell="F38" sqref="F38:H39"/>
      <pageMargins left="0.39370078740157483" right="0.39370078740157483" top="0.59055118110236227" bottom="0.39370078740157483" header="0.51181102362204722" footer="0.51181102362204722"/>
      <printOptions horizontalCentered="1"/>
      <pageSetup paperSize="9" scale="95" orientation="portrait" verticalDpi="300" r:id="rId1"/>
      <headerFooter alignWithMargins="0"/>
    </customSheetView>
  </customSheetViews>
  <mergeCells count="34">
    <mergeCell ref="J5:O5"/>
    <mergeCell ref="A13:C13"/>
    <mergeCell ref="J3:O3"/>
    <mergeCell ref="A7:C7"/>
    <mergeCell ref="A5:C5"/>
    <mergeCell ref="D9:I9"/>
    <mergeCell ref="A11:C11"/>
    <mergeCell ref="A1:I1"/>
    <mergeCell ref="A20:I20"/>
    <mergeCell ref="A3:C3"/>
    <mergeCell ref="A9:C9"/>
    <mergeCell ref="A21:B21"/>
    <mergeCell ref="H19:I19"/>
    <mergeCell ref="F40:H40"/>
    <mergeCell ref="D32:I32"/>
    <mergeCell ref="D30:I30"/>
    <mergeCell ref="D28:I28"/>
    <mergeCell ref="A30:C30"/>
    <mergeCell ref="F38:H38"/>
    <mergeCell ref="A28:C28"/>
    <mergeCell ref="A33:I33"/>
    <mergeCell ref="K31:S36"/>
    <mergeCell ref="C34:I34"/>
    <mergeCell ref="A15:C15"/>
    <mergeCell ref="A17:C17"/>
    <mergeCell ref="A22:F22"/>
    <mergeCell ref="A32:C32"/>
    <mergeCell ref="A36:I36"/>
    <mergeCell ref="C21:I21"/>
    <mergeCell ref="A19:G19"/>
    <mergeCell ref="F35:I35"/>
    <mergeCell ref="G22:H22"/>
    <mergeCell ref="J19:R20"/>
    <mergeCell ref="B35:D35"/>
  </mergeCells>
  <phoneticPr fontId="0" type="noConversion"/>
  <printOptions horizontalCentered="1"/>
  <pageMargins left="0.39370078740157483" right="0.39370078740157483" top="0.59055118110236227" bottom="0.39370078740157483" header="0.51181102362204722" footer="0.51181102362204722"/>
  <pageSetup paperSize="9" scale="95" orientation="portrait" verticalDpi="30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165"/>
  <sheetViews>
    <sheetView tabSelected="1" view="pageBreakPreview" topLeftCell="A15" zoomScale="85" zoomScaleNormal="100" zoomScaleSheetLayoutView="85" workbookViewId="0">
      <selection activeCell="C14" sqref="C14"/>
    </sheetView>
  </sheetViews>
  <sheetFormatPr defaultColWidth="9.109375" defaultRowHeight="15.6"/>
  <cols>
    <col min="1" max="1" width="14.6640625" style="77" bestFit="1" customWidth="1"/>
    <col min="2" max="2" width="9.44140625" style="80" customWidth="1"/>
    <col min="3" max="3" width="58.5546875" style="37" customWidth="1"/>
    <col min="4" max="4" width="12.33203125" style="80" bestFit="1" customWidth="1"/>
    <col min="5" max="5" width="8.33203125" style="37" customWidth="1"/>
    <col min="6" max="6" width="13.5546875" style="80" customWidth="1"/>
    <col min="7" max="7" width="12.88671875" style="37" customWidth="1"/>
    <col min="8" max="9" width="9.109375" style="37"/>
    <col min="10" max="10" width="12.88671875" style="37" bestFit="1" customWidth="1"/>
    <col min="11" max="11" width="12.33203125" style="37" bestFit="1" customWidth="1"/>
    <col min="12" max="12" width="11.88671875" style="37" bestFit="1" customWidth="1"/>
    <col min="13" max="16384" width="9.109375" style="37"/>
  </cols>
  <sheetData>
    <row r="1" spans="1:9" ht="45" customHeight="1" thickBot="1">
      <c r="A1" s="256" t="s">
        <v>62</v>
      </c>
      <c r="B1" s="256"/>
      <c r="C1" s="256"/>
      <c r="D1" s="256"/>
      <c r="E1" s="256"/>
      <c r="F1" s="256"/>
      <c r="G1" s="36"/>
      <c r="H1" s="36"/>
      <c r="I1" s="36"/>
    </row>
    <row r="2" spans="1:9" ht="35.4" thickBot="1">
      <c r="A2" s="83" t="str">
        <f>'FACE SHEET'!A21</f>
        <v>કામ નું નામ :</v>
      </c>
      <c r="B2" s="257" t="str">
        <f>'FACE SHEET'!C21</f>
        <v xml:space="preserve">ગોળજ ગામે ઉનાળીયા ચેરમેનના ઘર થી ખૂટતા સી.સી. રસ્તાનું કામ . </v>
      </c>
      <c r="C2" s="257"/>
      <c r="D2" s="257"/>
      <c r="E2" s="257"/>
      <c r="F2" s="258"/>
    </row>
    <row r="3" spans="1:9" s="2" customFormat="1" ht="61.2" customHeight="1">
      <c r="A3" s="84" t="s">
        <v>1</v>
      </c>
      <c r="B3" s="85" t="s">
        <v>47</v>
      </c>
      <c r="C3" s="85" t="s">
        <v>2</v>
      </c>
      <c r="D3" s="86" t="s">
        <v>46</v>
      </c>
      <c r="E3" s="85" t="s">
        <v>3</v>
      </c>
      <c r="F3" s="85" t="s">
        <v>4</v>
      </c>
      <c r="G3" s="1"/>
    </row>
    <row r="4" spans="1:9" s="38" customFormat="1" ht="70.95" customHeight="1">
      <c r="A4" s="249">
        <f>Measurement!K4</f>
        <v>36</v>
      </c>
      <c r="B4" s="242" t="s">
        <v>71</v>
      </c>
      <c r="C4" s="87" t="str">
        <f>Measurement!A3</f>
        <v xml:space="preserve">Item No.1 :- Box cutting the road surface to proper slope and camber for making a base for road work including removing the excavated stuff and depositing on the road side slope as deirected up to 50 m. lead. </v>
      </c>
      <c r="D4" s="88">
        <v>156.56</v>
      </c>
      <c r="E4" s="250" t="str">
        <f>B4</f>
        <v>Cmt</v>
      </c>
      <c r="F4" s="241">
        <f>A4*D5</f>
        <v>5692.32</v>
      </c>
      <c r="I4" s="39"/>
    </row>
    <row r="5" spans="1:9" s="38" customFormat="1">
      <c r="A5" s="249"/>
      <c r="B5" s="242"/>
      <c r="C5" s="89" t="s">
        <v>117</v>
      </c>
      <c r="D5" s="88">
        <f>TRUNC((D4*1.01),2)</f>
        <v>158.12</v>
      </c>
      <c r="E5" s="250"/>
      <c r="F5" s="241"/>
      <c r="I5" s="39"/>
    </row>
    <row r="6" spans="1:9" s="38" customFormat="1" ht="48.6" customHeight="1">
      <c r="A6" s="249">
        <f>Measurement!K9</f>
        <v>16.559999999999999</v>
      </c>
      <c r="B6" s="242" t="str">
        <f>Measurement!L9</f>
        <v>Cmt</v>
      </c>
      <c r="C6" s="87" t="str">
        <f>Measurement!A6</f>
        <v xml:space="preserve">Item No.2 :- Supplying of crsuhed stone aggregate,chipping etc. of hard stones of following nominal size free of disintegrated pieces deletarious and organic mater </v>
      </c>
      <c r="D6" s="88">
        <f>Schedule!I4</f>
        <v>677.82999999999993</v>
      </c>
      <c r="E6" s="250" t="str">
        <f>B6</f>
        <v>Cmt</v>
      </c>
      <c r="F6" s="241">
        <f>A6*D7</f>
        <v>11336.975999999999</v>
      </c>
      <c r="G6" s="38">
        <f>16.56*684.6</f>
        <v>11336.975999999999</v>
      </c>
      <c r="I6" s="39"/>
    </row>
    <row r="7" spans="1:9" s="38" customFormat="1">
      <c r="A7" s="249"/>
      <c r="B7" s="242"/>
      <c r="C7" s="89" t="s">
        <v>64</v>
      </c>
      <c r="D7" s="88">
        <f>TRUNC((D6*1.01),2)</f>
        <v>684.6</v>
      </c>
      <c r="E7" s="250"/>
      <c r="F7" s="241"/>
      <c r="I7" s="39"/>
    </row>
    <row r="8" spans="1:9" s="38" customFormat="1" ht="48" customHeight="1">
      <c r="A8" s="249">
        <f>Measurement!K12</f>
        <v>4.1399999999999997</v>
      </c>
      <c r="B8" s="242" t="s">
        <v>71</v>
      </c>
      <c r="C8" s="87" t="str">
        <f>Measurement!A11</f>
        <v xml:space="preserve">Item No.3 :-  Supplying of crsuhed stone aggregate,chipping etc. of hard stones of following nominal size free of disintegrated pieces deletarious and organic mater </v>
      </c>
      <c r="D8" s="88">
        <f>Schedule!I5</f>
        <v>171.8</v>
      </c>
      <c r="E8" s="250" t="str">
        <f>B8</f>
        <v>Cmt</v>
      </c>
      <c r="F8" s="241">
        <f>A8*D9</f>
        <v>718.33139999999992</v>
      </c>
      <c r="I8" s="39"/>
    </row>
    <row r="9" spans="1:9" s="38" customFormat="1">
      <c r="A9" s="249"/>
      <c r="B9" s="242"/>
      <c r="C9" s="89" t="s">
        <v>65</v>
      </c>
      <c r="D9" s="88">
        <f>TRUNC((D8*1.01),2)</f>
        <v>173.51</v>
      </c>
      <c r="E9" s="250"/>
      <c r="F9" s="241"/>
      <c r="I9" s="39"/>
    </row>
    <row r="10" spans="1:9" s="38" customFormat="1" ht="78.599999999999994" customHeight="1">
      <c r="A10" s="249">
        <f>Measurement!K15</f>
        <v>16.559999999999999</v>
      </c>
      <c r="B10" s="242" t="s">
        <v>71</v>
      </c>
      <c r="C10" s="87" t="str">
        <f>Measurement!A14</f>
        <v xml:space="preserve">Item No. :- 4 Spreading the stone aggregates for soiling and W. B. M. including filling the inter stices forming the surface to required camber and gradient (excluding spreading of blindage) (ii) 40 mm to 63 mm size aggreates (HB) </v>
      </c>
      <c r="D10" s="88">
        <v>247.28</v>
      </c>
      <c r="E10" s="250" t="str">
        <f>B10</f>
        <v>Cmt</v>
      </c>
      <c r="F10" s="241">
        <f>A10*D11</f>
        <v>4135.8599999999997</v>
      </c>
      <c r="I10" s="39"/>
    </row>
    <row r="11" spans="1:9" s="38" customFormat="1">
      <c r="A11" s="249"/>
      <c r="B11" s="242"/>
      <c r="C11" s="89" t="s">
        <v>114</v>
      </c>
      <c r="D11" s="88">
        <f>TRUNC((D10*1.01),2)</f>
        <v>249.75</v>
      </c>
      <c r="E11" s="250"/>
      <c r="F11" s="241"/>
    </row>
    <row r="12" spans="1:9" s="38" customFormat="1" ht="45">
      <c r="A12" s="249">
        <f>Measurement!K18</f>
        <v>4.1399999999999997</v>
      </c>
      <c r="B12" s="242" t="s">
        <v>71</v>
      </c>
      <c r="C12" s="87" t="str">
        <f>Measurement!A17</f>
        <v>Item No. 5 :-  Spreading blindage or road crust filling the  gaps in metal and levelling to gradient  and camber as directed (i) Murrum</v>
      </c>
      <c r="D12" s="88">
        <v>146.01</v>
      </c>
      <c r="E12" s="250" t="str">
        <f>B12</f>
        <v>Cmt</v>
      </c>
      <c r="F12" s="241">
        <f>A12*D13</f>
        <v>610.5258</v>
      </c>
    </row>
    <row r="13" spans="1:9" s="38" customFormat="1">
      <c r="A13" s="249"/>
      <c r="B13" s="242"/>
      <c r="C13" s="89" t="s">
        <v>115</v>
      </c>
      <c r="D13" s="88">
        <f>TRUNC((D12*1.01),2)</f>
        <v>147.47</v>
      </c>
      <c r="E13" s="250"/>
      <c r="F13" s="241"/>
    </row>
    <row r="14" spans="1:9" s="38" customFormat="1" ht="90">
      <c r="A14" s="249">
        <f>Measurement!K24</f>
        <v>12</v>
      </c>
      <c r="B14" s="242" t="s">
        <v>71</v>
      </c>
      <c r="C14" s="87" t="str">
        <f>Measurement!A23</f>
        <v xml:space="preserve">Item No. :- 6 Providing and Laying Ordinary Ciment Concrete 1:2:4 exposed work with  Curing etc. Complete including compacting with surface mechanical vibrator,mechanical loater, channaling, from work, grooving, excluding cost of reinforcement for R.C.C work  . </v>
      </c>
      <c r="D14" s="88">
        <f>RA!G14</f>
        <v>4866.3500000000004</v>
      </c>
      <c r="E14" s="250" t="str">
        <f>B14</f>
        <v>Cmt</v>
      </c>
      <c r="F14" s="241">
        <f>A14*D15</f>
        <v>58980.12</v>
      </c>
    </row>
    <row r="15" spans="1:9" s="38" customFormat="1">
      <c r="A15" s="249"/>
      <c r="B15" s="242"/>
      <c r="C15" s="89" t="s">
        <v>84</v>
      </c>
      <c r="D15" s="88">
        <f>TRUNC((D14*1.01),2)</f>
        <v>4915.01</v>
      </c>
      <c r="E15" s="250"/>
      <c r="F15" s="241"/>
    </row>
    <row r="16" spans="1:9" s="38" customFormat="1" ht="45">
      <c r="A16" s="249">
        <f>Measurement!K27</f>
        <v>1</v>
      </c>
      <c r="B16" s="242" t="s">
        <v>48</v>
      </c>
      <c r="C16" s="87" t="s">
        <v>108</v>
      </c>
      <c r="D16" s="88">
        <f>RA!G28</f>
        <v>2656</v>
      </c>
      <c r="E16" s="250" t="str">
        <f>B16</f>
        <v>No</v>
      </c>
      <c r="F16" s="241">
        <f>A16*D16</f>
        <v>2656</v>
      </c>
    </row>
    <row r="17" spans="1:8" s="38" customFormat="1">
      <c r="A17" s="249"/>
      <c r="B17" s="242"/>
      <c r="C17" s="89" t="s">
        <v>109</v>
      </c>
      <c r="D17" s="88"/>
      <c r="E17" s="250"/>
      <c r="F17" s="241"/>
    </row>
    <row r="18" spans="1:8" s="38" customFormat="1" ht="51" customHeight="1">
      <c r="A18" s="249">
        <f>Measurement!K30</f>
        <v>1</v>
      </c>
      <c r="B18" s="242" t="s">
        <v>48</v>
      </c>
      <c r="C18" s="87" t="s">
        <v>144</v>
      </c>
      <c r="D18" s="88">
        <v>303.11</v>
      </c>
      <c r="E18" s="250" t="str">
        <f>B18</f>
        <v>No</v>
      </c>
      <c r="F18" s="241">
        <f>A18*D19</f>
        <v>306.14</v>
      </c>
    </row>
    <row r="19" spans="1:8" s="38" customFormat="1">
      <c r="A19" s="249"/>
      <c r="B19" s="242"/>
      <c r="C19" s="89" t="s">
        <v>116</v>
      </c>
      <c r="D19" s="88">
        <f>TRUNC((D18*1.01),2)</f>
        <v>306.14</v>
      </c>
      <c r="E19" s="250"/>
      <c r="F19" s="241"/>
    </row>
    <row r="20" spans="1:8" s="40" customFormat="1" ht="19.5" customHeight="1">
      <c r="A20" s="247" t="s">
        <v>26</v>
      </c>
      <c r="B20" s="248"/>
      <c r="C20" s="248"/>
      <c r="D20" s="248"/>
      <c r="E20" s="248"/>
      <c r="F20" s="90">
        <f>SUM(F4:F19)</f>
        <v>84436.273199999996</v>
      </c>
    </row>
    <row r="21" spans="1:8" s="40" customFormat="1" ht="19.5" customHeight="1">
      <c r="A21" s="245" t="s">
        <v>120</v>
      </c>
      <c r="B21" s="246"/>
      <c r="C21" s="246"/>
      <c r="D21" s="246"/>
      <c r="E21" s="246"/>
      <c r="F21" s="91">
        <f>F20*18%</f>
        <v>15198.529175999998</v>
      </c>
    </row>
    <row r="22" spans="1:8" s="40" customFormat="1" ht="19.5" customHeight="1">
      <c r="A22" s="247" t="s">
        <v>26</v>
      </c>
      <c r="B22" s="248"/>
      <c r="C22" s="248"/>
      <c r="D22" s="248"/>
      <c r="E22" s="248"/>
      <c r="F22" s="90">
        <f>F20+F21</f>
        <v>99634.802375999992</v>
      </c>
    </row>
    <row r="23" spans="1:8" s="43" customFormat="1" ht="19.5" customHeight="1">
      <c r="A23" s="245" t="s">
        <v>63</v>
      </c>
      <c r="B23" s="246"/>
      <c r="C23" s="246"/>
      <c r="D23" s="246"/>
      <c r="E23" s="246"/>
      <c r="F23" s="91">
        <f>'FACE SHEET'!G22</f>
        <v>100000</v>
      </c>
    </row>
    <row r="24" spans="1:8" s="43" customFormat="1" ht="19.5" customHeight="1">
      <c r="A24" s="252"/>
      <c r="B24" s="253"/>
      <c r="C24" s="253"/>
      <c r="D24" s="253"/>
      <c r="E24" s="253"/>
      <c r="F24" s="44" t="s">
        <v>76</v>
      </c>
    </row>
    <row r="25" spans="1:8" s="43" customFormat="1" ht="19.5" customHeight="1">
      <c r="A25" s="252"/>
      <c r="B25" s="253"/>
      <c r="C25" s="253"/>
      <c r="D25" s="253"/>
      <c r="E25" s="253"/>
      <c r="F25" s="42"/>
    </row>
    <row r="26" spans="1:8" s="43" customFormat="1" ht="19.5" customHeight="1">
      <c r="A26" s="45"/>
      <c r="B26" s="41"/>
      <c r="C26" s="41"/>
      <c r="D26" s="41"/>
      <c r="E26" s="41"/>
      <c r="F26" s="42"/>
    </row>
    <row r="27" spans="1:8" s="52" customFormat="1">
      <c r="A27" s="46"/>
      <c r="B27" s="47"/>
      <c r="C27" s="48"/>
      <c r="D27" s="49"/>
      <c r="E27" s="50"/>
      <c r="F27" s="51"/>
    </row>
    <row r="28" spans="1:8" s="52" customFormat="1">
      <c r="A28" s="92" t="s">
        <v>79</v>
      </c>
      <c r="B28" s="81"/>
      <c r="C28" s="82"/>
      <c r="D28" s="53"/>
      <c r="E28" s="53"/>
      <c r="F28" s="54"/>
      <c r="G28" s="55"/>
      <c r="H28" s="55"/>
    </row>
    <row r="29" spans="1:8" s="52" customFormat="1">
      <c r="A29" s="93" t="s">
        <v>80</v>
      </c>
      <c r="B29" s="81"/>
      <c r="C29" s="82"/>
      <c r="D29" s="53"/>
      <c r="E29" s="53"/>
      <c r="F29" s="54"/>
      <c r="G29" s="251"/>
      <c r="H29" s="251"/>
    </row>
    <row r="30" spans="1:8" s="52" customFormat="1">
      <c r="A30" s="254" t="s">
        <v>81</v>
      </c>
      <c r="B30" s="255"/>
      <c r="C30" s="56"/>
      <c r="D30" s="53"/>
      <c r="E30" s="53"/>
      <c r="F30" s="54"/>
      <c r="G30" s="251"/>
      <c r="H30" s="251"/>
    </row>
    <row r="31" spans="1:8" s="52" customFormat="1" ht="17.399999999999999">
      <c r="A31" s="57"/>
      <c r="B31" s="58"/>
      <c r="C31" s="59"/>
      <c r="D31" s="60"/>
      <c r="E31" s="59"/>
      <c r="F31" s="61"/>
      <c r="G31" s="62"/>
      <c r="H31" s="37"/>
    </row>
    <row r="32" spans="1:8" s="52" customFormat="1">
      <c r="A32" s="57"/>
      <c r="B32" s="58"/>
      <c r="C32" s="63"/>
      <c r="D32" s="64"/>
      <c r="E32" s="65"/>
      <c r="F32" s="66"/>
    </row>
    <row r="33" spans="1:6" s="52" customFormat="1">
      <c r="A33" s="57"/>
      <c r="B33" s="58"/>
      <c r="C33" s="63"/>
      <c r="D33" s="64"/>
      <c r="E33" s="65"/>
      <c r="F33" s="66"/>
    </row>
    <row r="34" spans="1:6" s="52" customFormat="1">
      <c r="A34" s="67"/>
      <c r="B34" s="68"/>
      <c r="C34" s="69"/>
      <c r="D34" s="243"/>
      <c r="E34" s="243"/>
      <c r="F34" s="244"/>
    </row>
    <row r="35" spans="1:6" s="52" customFormat="1">
      <c r="A35" s="70"/>
      <c r="B35" s="70"/>
      <c r="C35" s="63"/>
      <c r="D35" s="71"/>
      <c r="E35" s="72"/>
      <c r="F35" s="71"/>
    </row>
    <row r="36" spans="1:6" s="52" customFormat="1">
      <c r="A36" s="70"/>
      <c r="B36" s="70"/>
      <c r="C36" s="63"/>
      <c r="D36" s="71"/>
      <c r="E36" s="72"/>
      <c r="F36" s="71"/>
    </row>
    <row r="37" spans="1:6" s="52" customFormat="1">
      <c r="A37" s="70"/>
      <c r="B37" s="70"/>
      <c r="C37" s="63"/>
      <c r="D37" s="71"/>
      <c r="E37" s="72"/>
      <c r="F37" s="71"/>
    </row>
    <row r="38" spans="1:6" s="52" customFormat="1">
      <c r="A38" s="70"/>
      <c r="B38" s="70"/>
      <c r="C38" s="63"/>
      <c r="D38" s="71"/>
      <c r="E38" s="72"/>
      <c r="F38" s="71"/>
    </row>
    <row r="39" spans="1:6" s="52" customFormat="1">
      <c r="A39" s="70"/>
      <c r="B39" s="70"/>
      <c r="C39" s="63"/>
      <c r="D39" s="71"/>
      <c r="E39" s="72"/>
      <c r="F39" s="71"/>
    </row>
    <row r="40" spans="1:6" s="52" customFormat="1">
      <c r="A40" s="70"/>
      <c r="B40" s="70"/>
      <c r="C40" s="63"/>
      <c r="D40" s="71"/>
      <c r="E40" s="72"/>
      <c r="F40" s="71"/>
    </row>
    <row r="41" spans="1:6" s="52" customFormat="1">
      <c r="A41" s="70"/>
      <c r="B41" s="70"/>
      <c r="C41" s="63"/>
      <c r="D41" s="71"/>
      <c r="E41" s="72"/>
      <c r="F41" s="71"/>
    </row>
    <row r="42" spans="1:6" s="52" customFormat="1">
      <c r="A42" s="70"/>
      <c r="B42" s="70"/>
      <c r="C42" s="63"/>
      <c r="D42" s="71"/>
      <c r="E42" s="72"/>
      <c r="F42" s="71"/>
    </row>
    <row r="43" spans="1:6" s="52" customFormat="1">
      <c r="A43" s="70"/>
      <c r="B43" s="70"/>
      <c r="C43" s="63"/>
      <c r="D43" s="71"/>
      <c r="E43" s="72"/>
      <c r="F43" s="71"/>
    </row>
    <row r="44" spans="1:6" s="52" customFormat="1">
      <c r="A44" s="70"/>
      <c r="B44" s="70"/>
      <c r="C44" s="63"/>
      <c r="D44" s="71"/>
      <c r="E44" s="72"/>
      <c r="F44" s="71"/>
    </row>
    <row r="45" spans="1:6">
      <c r="A45" s="73"/>
      <c r="B45" s="73"/>
      <c r="C45" s="59"/>
      <c r="D45" s="74"/>
      <c r="E45" s="75"/>
      <c r="F45" s="74"/>
    </row>
    <row r="46" spans="1:6">
      <c r="A46" s="73"/>
      <c r="B46" s="73"/>
      <c r="C46" s="59"/>
      <c r="D46" s="74"/>
      <c r="E46" s="75"/>
      <c r="F46" s="74"/>
    </row>
    <row r="47" spans="1:6">
      <c r="A47" s="73"/>
      <c r="B47" s="73"/>
      <c r="C47" s="59"/>
      <c r="D47" s="74"/>
      <c r="E47" s="75"/>
      <c r="F47" s="74"/>
    </row>
    <row r="48" spans="1:6">
      <c r="A48" s="73"/>
      <c r="B48" s="73"/>
      <c r="C48" s="59"/>
      <c r="D48" s="74"/>
      <c r="E48" s="75"/>
      <c r="F48" s="74"/>
    </row>
    <row r="49" spans="1:6">
      <c r="A49" s="73"/>
      <c r="B49" s="73"/>
      <c r="C49" s="59"/>
      <c r="D49" s="74"/>
      <c r="E49" s="75"/>
      <c r="F49" s="74"/>
    </row>
    <row r="50" spans="1:6">
      <c r="A50" s="73"/>
      <c r="B50" s="73"/>
      <c r="C50" s="59"/>
      <c r="D50" s="74"/>
      <c r="E50" s="75"/>
      <c r="F50" s="74"/>
    </row>
    <row r="51" spans="1:6">
      <c r="A51" s="76"/>
      <c r="B51" s="76"/>
      <c r="D51" s="77"/>
      <c r="E51" s="78"/>
      <c r="F51" s="77"/>
    </row>
    <row r="52" spans="1:6">
      <c r="A52" s="76"/>
      <c r="B52" s="76"/>
      <c r="D52" s="77"/>
      <c r="E52" s="78"/>
      <c r="F52" s="77"/>
    </row>
    <row r="53" spans="1:6">
      <c r="A53" s="76"/>
      <c r="B53" s="76"/>
      <c r="D53" s="77"/>
      <c r="E53" s="78"/>
      <c r="F53" s="77"/>
    </row>
    <row r="54" spans="1:6">
      <c r="A54" s="76"/>
      <c r="B54" s="76"/>
      <c r="D54" s="77"/>
      <c r="E54" s="78"/>
      <c r="F54" s="77"/>
    </row>
    <row r="55" spans="1:6">
      <c r="A55" s="76"/>
      <c r="B55" s="76"/>
      <c r="D55" s="77"/>
      <c r="E55" s="78"/>
      <c r="F55" s="77"/>
    </row>
    <row r="56" spans="1:6">
      <c r="A56" s="76"/>
      <c r="B56" s="76"/>
      <c r="D56" s="77"/>
      <c r="E56" s="78"/>
      <c r="F56" s="77"/>
    </row>
    <row r="57" spans="1:6">
      <c r="A57" s="76"/>
      <c r="B57" s="76"/>
      <c r="D57" s="77"/>
      <c r="E57" s="78"/>
      <c r="F57" s="77"/>
    </row>
    <row r="58" spans="1:6">
      <c r="A58" s="76"/>
      <c r="B58" s="76"/>
      <c r="D58" s="77"/>
      <c r="E58" s="78"/>
      <c r="F58" s="77"/>
    </row>
    <row r="59" spans="1:6">
      <c r="A59" s="76"/>
      <c r="B59" s="76"/>
      <c r="D59" s="77"/>
      <c r="E59" s="78"/>
      <c r="F59" s="77"/>
    </row>
    <row r="60" spans="1:6">
      <c r="A60" s="76"/>
      <c r="B60" s="76"/>
      <c r="D60" s="77"/>
      <c r="E60" s="78"/>
      <c r="F60" s="77"/>
    </row>
    <row r="61" spans="1:6">
      <c r="A61" s="76"/>
      <c r="B61" s="76"/>
      <c r="D61" s="77"/>
      <c r="E61" s="78"/>
      <c r="F61" s="77"/>
    </row>
    <row r="62" spans="1:6">
      <c r="A62" s="76"/>
      <c r="B62" s="76"/>
      <c r="D62" s="77"/>
      <c r="E62" s="78"/>
      <c r="F62" s="77"/>
    </row>
    <row r="63" spans="1:6">
      <c r="A63" s="76"/>
      <c r="B63" s="76"/>
      <c r="D63" s="77"/>
      <c r="E63" s="78"/>
      <c r="F63" s="77"/>
    </row>
    <row r="64" spans="1:6">
      <c r="A64" s="76"/>
      <c r="B64" s="76"/>
      <c r="D64" s="77"/>
      <c r="E64" s="78"/>
      <c r="F64" s="77"/>
    </row>
    <row r="65" spans="1:6">
      <c r="A65" s="76"/>
      <c r="B65" s="76"/>
      <c r="D65" s="77"/>
      <c r="E65" s="78"/>
      <c r="F65" s="77"/>
    </row>
    <row r="66" spans="1:6">
      <c r="A66" s="76"/>
      <c r="B66" s="76"/>
      <c r="D66" s="77"/>
      <c r="E66" s="78"/>
      <c r="F66" s="77"/>
    </row>
    <row r="67" spans="1:6">
      <c r="A67" s="76"/>
      <c r="B67" s="76"/>
      <c r="D67" s="77"/>
      <c r="E67" s="78"/>
      <c r="F67" s="77"/>
    </row>
    <row r="68" spans="1:6">
      <c r="A68" s="76"/>
      <c r="B68" s="76"/>
      <c r="D68" s="77"/>
      <c r="E68" s="78"/>
      <c r="F68" s="77"/>
    </row>
    <row r="69" spans="1:6">
      <c r="A69" s="76"/>
      <c r="B69" s="76"/>
      <c r="D69" s="77"/>
      <c r="E69" s="78"/>
      <c r="F69" s="77"/>
    </row>
    <row r="70" spans="1:6">
      <c r="A70" s="76"/>
      <c r="B70" s="76"/>
      <c r="D70" s="77"/>
      <c r="E70" s="78"/>
      <c r="F70" s="77"/>
    </row>
    <row r="71" spans="1:6">
      <c r="A71" s="76"/>
      <c r="B71" s="76"/>
      <c r="D71" s="77"/>
      <c r="E71" s="78"/>
      <c r="F71" s="77"/>
    </row>
    <row r="72" spans="1:6">
      <c r="A72" s="76"/>
      <c r="B72" s="76"/>
      <c r="D72" s="77"/>
      <c r="E72" s="78"/>
      <c r="F72" s="77"/>
    </row>
    <row r="73" spans="1:6">
      <c r="A73" s="76"/>
      <c r="B73" s="76"/>
      <c r="D73" s="77"/>
      <c r="E73" s="78"/>
      <c r="F73" s="77"/>
    </row>
    <row r="74" spans="1:6">
      <c r="A74" s="76"/>
      <c r="B74" s="76"/>
      <c r="D74" s="77"/>
      <c r="E74" s="78"/>
      <c r="F74" s="77"/>
    </row>
    <row r="75" spans="1:6">
      <c r="A75" s="76"/>
      <c r="B75" s="76"/>
      <c r="D75" s="77"/>
      <c r="E75" s="78"/>
      <c r="F75" s="77"/>
    </row>
    <row r="76" spans="1:6">
      <c r="A76" s="76"/>
      <c r="B76" s="79"/>
      <c r="D76" s="77"/>
      <c r="E76" s="78"/>
      <c r="F76" s="77"/>
    </row>
    <row r="77" spans="1:6">
      <c r="A77" s="76"/>
      <c r="B77" s="79"/>
      <c r="D77" s="77"/>
      <c r="E77" s="78"/>
      <c r="F77" s="77"/>
    </row>
    <row r="78" spans="1:6">
      <c r="A78" s="76"/>
      <c r="B78" s="79"/>
      <c r="D78" s="77"/>
      <c r="E78" s="78"/>
      <c r="F78" s="77"/>
    </row>
    <row r="79" spans="1:6">
      <c r="A79" s="76"/>
      <c r="B79" s="79"/>
      <c r="D79" s="77"/>
      <c r="E79" s="78"/>
      <c r="F79" s="77"/>
    </row>
    <row r="80" spans="1:6">
      <c r="A80" s="76"/>
      <c r="B80" s="79"/>
      <c r="D80" s="77"/>
      <c r="E80" s="78"/>
      <c r="F80" s="77"/>
    </row>
    <row r="81" spans="1:6">
      <c r="A81" s="76"/>
      <c r="B81" s="79"/>
      <c r="D81" s="77"/>
      <c r="E81" s="78"/>
      <c r="F81" s="77"/>
    </row>
    <row r="82" spans="1:6">
      <c r="A82" s="76"/>
      <c r="B82" s="79"/>
      <c r="D82" s="77"/>
      <c r="E82" s="78"/>
      <c r="F82" s="77"/>
    </row>
    <row r="83" spans="1:6">
      <c r="A83" s="76"/>
      <c r="B83" s="79"/>
      <c r="D83" s="77"/>
      <c r="E83" s="78"/>
      <c r="F83" s="77"/>
    </row>
    <row r="84" spans="1:6">
      <c r="A84" s="76"/>
      <c r="B84" s="79"/>
      <c r="D84" s="77"/>
      <c r="E84" s="78"/>
      <c r="F84" s="77"/>
    </row>
    <row r="85" spans="1:6">
      <c r="A85" s="76"/>
      <c r="B85" s="79"/>
      <c r="D85" s="77"/>
      <c r="E85" s="78"/>
      <c r="F85" s="77"/>
    </row>
    <row r="86" spans="1:6">
      <c r="A86" s="76"/>
      <c r="B86" s="79"/>
      <c r="D86" s="77"/>
      <c r="E86" s="78"/>
      <c r="F86" s="77"/>
    </row>
    <row r="87" spans="1:6">
      <c r="A87" s="76"/>
      <c r="B87" s="79"/>
      <c r="D87" s="77"/>
      <c r="E87" s="78"/>
      <c r="F87" s="77"/>
    </row>
    <row r="88" spans="1:6">
      <c r="A88" s="76"/>
      <c r="B88" s="79"/>
      <c r="D88" s="77"/>
      <c r="E88" s="78"/>
      <c r="F88" s="77"/>
    </row>
    <row r="89" spans="1:6">
      <c r="A89" s="76"/>
      <c r="B89" s="79"/>
      <c r="D89" s="77"/>
      <c r="E89" s="78"/>
      <c r="F89" s="77"/>
    </row>
    <row r="90" spans="1:6">
      <c r="A90" s="76"/>
      <c r="B90" s="79"/>
      <c r="D90" s="77"/>
      <c r="E90" s="78"/>
      <c r="F90" s="77"/>
    </row>
    <row r="91" spans="1:6">
      <c r="A91" s="76"/>
      <c r="B91" s="79"/>
      <c r="D91" s="77"/>
      <c r="E91" s="78"/>
      <c r="F91" s="77"/>
    </row>
    <row r="92" spans="1:6">
      <c r="A92" s="76"/>
      <c r="B92" s="79"/>
      <c r="D92" s="77"/>
      <c r="E92" s="78"/>
      <c r="F92" s="77"/>
    </row>
    <row r="93" spans="1:6">
      <c r="A93" s="76"/>
      <c r="B93" s="79"/>
      <c r="D93" s="77"/>
      <c r="E93" s="78"/>
      <c r="F93" s="77"/>
    </row>
    <row r="94" spans="1:6">
      <c r="A94" s="76"/>
      <c r="B94" s="79"/>
      <c r="D94" s="77"/>
      <c r="E94" s="78"/>
      <c r="F94" s="77"/>
    </row>
    <row r="95" spans="1:6">
      <c r="A95" s="76"/>
      <c r="B95" s="79"/>
      <c r="D95" s="77"/>
      <c r="E95" s="78"/>
      <c r="F95" s="77"/>
    </row>
    <row r="96" spans="1:6">
      <c r="A96" s="76"/>
      <c r="B96" s="79"/>
      <c r="D96" s="77"/>
      <c r="E96" s="78"/>
      <c r="F96" s="77"/>
    </row>
    <row r="97" spans="1:6">
      <c r="A97" s="76"/>
      <c r="B97" s="79"/>
      <c r="D97" s="77"/>
      <c r="E97" s="78"/>
      <c r="F97" s="77"/>
    </row>
    <row r="98" spans="1:6">
      <c r="A98" s="76"/>
      <c r="B98" s="79"/>
      <c r="D98" s="77"/>
      <c r="E98" s="78"/>
      <c r="F98" s="77"/>
    </row>
    <row r="99" spans="1:6">
      <c r="A99" s="76"/>
      <c r="B99" s="79"/>
      <c r="D99" s="77"/>
      <c r="E99" s="78"/>
      <c r="F99" s="77"/>
    </row>
    <row r="100" spans="1:6">
      <c r="A100" s="76"/>
      <c r="B100" s="79"/>
      <c r="D100" s="77"/>
      <c r="E100" s="78"/>
      <c r="F100" s="77"/>
    </row>
    <row r="101" spans="1:6">
      <c r="A101" s="76"/>
      <c r="B101" s="79"/>
      <c r="D101" s="77"/>
      <c r="E101" s="78"/>
      <c r="F101" s="77"/>
    </row>
    <row r="102" spans="1:6">
      <c r="A102" s="76"/>
      <c r="B102" s="79"/>
      <c r="D102" s="77"/>
      <c r="E102" s="78"/>
      <c r="F102" s="77"/>
    </row>
    <row r="103" spans="1:6">
      <c r="A103" s="76"/>
      <c r="B103" s="79"/>
      <c r="D103" s="77"/>
      <c r="E103" s="78"/>
      <c r="F103" s="77"/>
    </row>
    <row r="104" spans="1:6">
      <c r="A104" s="76"/>
      <c r="B104" s="79"/>
      <c r="D104" s="77"/>
      <c r="E104" s="78"/>
      <c r="F104" s="77"/>
    </row>
    <row r="105" spans="1:6">
      <c r="A105" s="76"/>
      <c r="B105" s="79"/>
      <c r="D105" s="77"/>
      <c r="E105" s="78"/>
      <c r="F105" s="77"/>
    </row>
    <row r="106" spans="1:6">
      <c r="A106" s="76"/>
      <c r="B106" s="79"/>
      <c r="D106" s="77"/>
      <c r="E106" s="78"/>
      <c r="F106" s="77"/>
    </row>
    <row r="107" spans="1:6">
      <c r="A107" s="76"/>
      <c r="B107" s="79"/>
      <c r="D107" s="77"/>
      <c r="E107" s="78"/>
      <c r="F107" s="77"/>
    </row>
    <row r="108" spans="1:6">
      <c r="A108" s="76"/>
      <c r="B108" s="79"/>
      <c r="D108" s="77"/>
      <c r="E108" s="78"/>
      <c r="F108" s="77"/>
    </row>
    <row r="109" spans="1:6">
      <c r="A109" s="76"/>
      <c r="B109" s="79"/>
      <c r="D109" s="77"/>
      <c r="E109" s="78"/>
      <c r="F109" s="77"/>
    </row>
    <row r="110" spans="1:6">
      <c r="A110" s="76"/>
      <c r="B110" s="79"/>
      <c r="D110" s="77"/>
      <c r="E110" s="78"/>
      <c r="F110" s="77"/>
    </row>
    <row r="111" spans="1:6">
      <c r="A111" s="76"/>
      <c r="B111" s="79"/>
      <c r="D111" s="77"/>
      <c r="E111" s="78"/>
      <c r="F111" s="77"/>
    </row>
    <row r="112" spans="1:6">
      <c r="A112" s="76"/>
      <c r="B112" s="79"/>
      <c r="D112" s="77"/>
      <c r="E112" s="78"/>
      <c r="F112" s="77"/>
    </row>
    <row r="113" spans="1:6">
      <c r="A113" s="76"/>
      <c r="B113" s="79"/>
      <c r="D113" s="77"/>
      <c r="E113" s="78"/>
      <c r="F113" s="77"/>
    </row>
    <row r="114" spans="1:6">
      <c r="A114" s="76"/>
      <c r="B114" s="79"/>
      <c r="D114" s="77"/>
      <c r="E114" s="78"/>
      <c r="F114" s="77"/>
    </row>
    <row r="115" spans="1:6">
      <c r="A115" s="76"/>
      <c r="B115" s="79"/>
      <c r="D115" s="77"/>
      <c r="E115" s="78"/>
      <c r="F115" s="77"/>
    </row>
    <row r="116" spans="1:6">
      <c r="A116" s="76"/>
      <c r="B116" s="79"/>
      <c r="D116" s="77"/>
      <c r="E116" s="78"/>
      <c r="F116" s="77"/>
    </row>
    <row r="117" spans="1:6">
      <c r="A117" s="76"/>
      <c r="B117" s="79"/>
      <c r="D117" s="77"/>
      <c r="E117" s="78"/>
      <c r="F117" s="77"/>
    </row>
    <row r="118" spans="1:6">
      <c r="A118" s="76"/>
      <c r="B118" s="79"/>
      <c r="D118" s="77"/>
      <c r="E118" s="78"/>
      <c r="F118" s="77"/>
    </row>
    <row r="119" spans="1:6">
      <c r="A119" s="76"/>
      <c r="B119" s="79"/>
      <c r="D119" s="77"/>
      <c r="E119" s="78"/>
      <c r="F119" s="77"/>
    </row>
    <row r="120" spans="1:6">
      <c r="A120" s="76"/>
      <c r="B120" s="79"/>
      <c r="D120" s="77"/>
      <c r="E120" s="78"/>
      <c r="F120" s="77"/>
    </row>
    <row r="121" spans="1:6">
      <c r="A121" s="76"/>
      <c r="B121" s="79"/>
      <c r="D121" s="77"/>
      <c r="E121" s="78"/>
      <c r="F121" s="77"/>
    </row>
    <row r="122" spans="1:6">
      <c r="A122" s="76"/>
      <c r="B122" s="79"/>
      <c r="D122" s="77"/>
      <c r="E122" s="78"/>
      <c r="F122" s="77"/>
    </row>
    <row r="123" spans="1:6">
      <c r="A123" s="76"/>
      <c r="B123" s="79"/>
      <c r="D123" s="77"/>
      <c r="E123" s="78"/>
      <c r="F123" s="77"/>
    </row>
    <row r="124" spans="1:6">
      <c r="A124" s="76"/>
      <c r="B124" s="79"/>
      <c r="D124" s="77"/>
      <c r="E124" s="78"/>
      <c r="F124" s="77"/>
    </row>
    <row r="125" spans="1:6">
      <c r="A125" s="76"/>
      <c r="B125" s="79"/>
      <c r="D125" s="77"/>
      <c r="E125" s="78"/>
      <c r="F125" s="77"/>
    </row>
    <row r="126" spans="1:6">
      <c r="A126" s="76"/>
      <c r="B126" s="79"/>
      <c r="D126" s="77"/>
      <c r="E126" s="78"/>
      <c r="F126" s="77"/>
    </row>
    <row r="127" spans="1:6">
      <c r="A127" s="76"/>
      <c r="B127" s="79"/>
      <c r="D127" s="77"/>
      <c r="E127" s="78"/>
      <c r="F127" s="77"/>
    </row>
    <row r="128" spans="1:6">
      <c r="A128" s="76"/>
      <c r="B128" s="79"/>
      <c r="D128" s="77"/>
      <c r="E128" s="78"/>
      <c r="F128" s="77"/>
    </row>
    <row r="129" spans="1:6">
      <c r="A129" s="76"/>
      <c r="B129" s="79"/>
      <c r="D129" s="77"/>
      <c r="E129" s="78"/>
      <c r="F129" s="77"/>
    </row>
    <row r="130" spans="1:6">
      <c r="A130" s="76"/>
      <c r="B130" s="79"/>
      <c r="D130" s="77"/>
      <c r="E130" s="78"/>
      <c r="F130" s="77"/>
    </row>
    <row r="131" spans="1:6">
      <c r="A131" s="76"/>
      <c r="B131" s="79"/>
      <c r="D131" s="77"/>
      <c r="E131" s="78"/>
      <c r="F131" s="77"/>
    </row>
    <row r="132" spans="1:6">
      <c r="A132" s="76"/>
      <c r="B132" s="79"/>
      <c r="D132" s="77"/>
      <c r="E132" s="78"/>
      <c r="F132" s="77"/>
    </row>
    <row r="133" spans="1:6">
      <c r="A133" s="76"/>
      <c r="B133" s="79"/>
      <c r="D133" s="77"/>
      <c r="E133" s="78"/>
      <c r="F133" s="77"/>
    </row>
    <row r="134" spans="1:6">
      <c r="A134" s="76"/>
      <c r="B134" s="79"/>
      <c r="D134" s="77"/>
      <c r="E134" s="78"/>
      <c r="F134" s="77"/>
    </row>
    <row r="135" spans="1:6">
      <c r="A135" s="76"/>
      <c r="B135" s="79"/>
      <c r="D135" s="77"/>
      <c r="E135" s="78"/>
      <c r="F135" s="77"/>
    </row>
    <row r="136" spans="1:6">
      <c r="A136" s="76"/>
      <c r="B136" s="79"/>
      <c r="D136" s="77"/>
      <c r="E136" s="78"/>
      <c r="F136" s="77"/>
    </row>
    <row r="137" spans="1:6">
      <c r="A137" s="76"/>
      <c r="B137" s="79"/>
      <c r="D137" s="77"/>
      <c r="E137" s="78"/>
      <c r="F137" s="77"/>
    </row>
    <row r="138" spans="1:6">
      <c r="A138" s="76"/>
      <c r="B138" s="79"/>
      <c r="D138" s="77"/>
      <c r="E138" s="78"/>
      <c r="F138" s="77"/>
    </row>
    <row r="139" spans="1:6">
      <c r="A139" s="76"/>
      <c r="B139" s="79"/>
      <c r="D139" s="77"/>
      <c r="E139" s="78"/>
      <c r="F139" s="77"/>
    </row>
    <row r="140" spans="1:6">
      <c r="A140" s="76"/>
      <c r="B140" s="79"/>
      <c r="D140" s="77"/>
      <c r="E140" s="78"/>
      <c r="F140" s="77"/>
    </row>
    <row r="141" spans="1:6">
      <c r="A141" s="76"/>
      <c r="B141" s="79"/>
      <c r="D141" s="77"/>
      <c r="E141" s="78"/>
      <c r="F141" s="77"/>
    </row>
    <row r="142" spans="1:6">
      <c r="A142" s="76"/>
      <c r="B142" s="79"/>
      <c r="D142" s="77"/>
      <c r="E142" s="78"/>
      <c r="F142" s="77"/>
    </row>
    <row r="143" spans="1:6">
      <c r="A143" s="76"/>
      <c r="B143" s="79"/>
      <c r="D143" s="77"/>
      <c r="E143" s="78"/>
      <c r="F143" s="77"/>
    </row>
    <row r="144" spans="1:6">
      <c r="A144" s="76"/>
      <c r="B144" s="79"/>
      <c r="D144" s="77"/>
      <c r="E144" s="78"/>
      <c r="F144" s="77"/>
    </row>
    <row r="145" spans="1:6">
      <c r="A145" s="76"/>
      <c r="B145" s="79"/>
      <c r="D145" s="77"/>
      <c r="E145" s="78"/>
      <c r="F145" s="77"/>
    </row>
    <row r="146" spans="1:6">
      <c r="A146" s="76"/>
      <c r="B146" s="79"/>
      <c r="D146" s="77"/>
      <c r="E146" s="78"/>
      <c r="F146" s="77"/>
    </row>
    <row r="147" spans="1:6">
      <c r="A147" s="76"/>
      <c r="B147" s="79"/>
      <c r="D147" s="77"/>
      <c r="E147" s="78"/>
      <c r="F147" s="77"/>
    </row>
    <row r="148" spans="1:6">
      <c r="A148" s="76"/>
      <c r="B148" s="79"/>
      <c r="D148" s="77"/>
      <c r="E148" s="78"/>
      <c r="F148" s="77"/>
    </row>
    <row r="149" spans="1:6">
      <c r="A149" s="76"/>
      <c r="B149" s="79"/>
      <c r="D149" s="77"/>
      <c r="E149" s="78"/>
      <c r="F149" s="77"/>
    </row>
    <row r="150" spans="1:6">
      <c r="A150" s="76"/>
      <c r="B150" s="79"/>
      <c r="D150" s="77"/>
      <c r="E150" s="78"/>
      <c r="F150" s="77"/>
    </row>
    <row r="151" spans="1:6">
      <c r="A151" s="76"/>
      <c r="B151" s="79"/>
      <c r="D151" s="77"/>
      <c r="E151" s="78"/>
      <c r="F151" s="77"/>
    </row>
    <row r="152" spans="1:6">
      <c r="A152" s="76"/>
      <c r="B152" s="79"/>
      <c r="D152" s="77"/>
      <c r="E152" s="78"/>
      <c r="F152" s="77"/>
    </row>
    <row r="153" spans="1:6">
      <c r="A153" s="76"/>
      <c r="B153" s="79"/>
      <c r="D153" s="77"/>
      <c r="E153" s="78"/>
      <c r="F153" s="77"/>
    </row>
    <row r="154" spans="1:6">
      <c r="A154" s="76"/>
      <c r="B154" s="79"/>
      <c r="D154" s="77"/>
      <c r="E154" s="78"/>
      <c r="F154" s="77"/>
    </row>
    <row r="155" spans="1:6">
      <c r="A155" s="76"/>
      <c r="B155" s="79"/>
    </row>
    <row r="156" spans="1:6">
      <c r="A156" s="76"/>
      <c r="B156" s="79"/>
    </row>
    <row r="157" spans="1:6">
      <c r="A157" s="76"/>
      <c r="B157" s="79"/>
    </row>
    <row r="158" spans="1:6">
      <c r="A158" s="76"/>
      <c r="B158" s="79"/>
    </row>
    <row r="159" spans="1:6">
      <c r="A159" s="76"/>
      <c r="B159" s="79"/>
    </row>
    <row r="160" spans="1:6">
      <c r="A160" s="76"/>
      <c r="B160" s="79"/>
    </row>
    <row r="161" spans="1:2">
      <c r="A161" s="76"/>
      <c r="B161" s="79"/>
    </row>
    <row r="162" spans="1:2">
      <c r="A162" s="76"/>
      <c r="B162" s="79"/>
    </row>
    <row r="163" spans="1:2">
      <c r="A163" s="76"/>
      <c r="B163" s="79"/>
    </row>
    <row r="164" spans="1:2">
      <c r="A164" s="76"/>
      <c r="B164" s="79"/>
    </row>
    <row r="165" spans="1:2">
      <c r="A165" s="76"/>
      <c r="B165" s="79"/>
    </row>
  </sheetData>
  <customSheetViews>
    <customSheetView guid="{D6DF09BD-97F5-4B8B-B461-A7BC9875A0D8}" scale="85" showPageBreaks="1" printArea="1" hiddenRows="1" view="pageBreakPreview" topLeftCell="A13">
      <selection activeCell="F26" sqref="F26"/>
      <colBreaks count="1" manualBreakCount="1">
        <brk id="6" max="1048575" man="1"/>
      </colBreaks>
      <pageMargins left="0.39370078740157483" right="0.39370078740157483" top="0.59055118110236227" bottom="0.39370078740157483" header="0.15748031496062992" footer="0.19685039370078741"/>
      <printOptions horizontalCentered="1"/>
      <pageSetup paperSize="9" scale="75" orientation="portrait" verticalDpi="4294967295" r:id="rId1"/>
      <headerFooter scaleWithDoc="0" alignWithMargins="0"/>
    </customSheetView>
  </customSheetViews>
  <mergeCells count="44">
    <mergeCell ref="A1:F1"/>
    <mergeCell ref="A25:E25"/>
    <mergeCell ref="A20:E20"/>
    <mergeCell ref="F4:F5"/>
    <mergeCell ref="A6:A7"/>
    <mergeCell ref="A4:A5"/>
    <mergeCell ref="B2:F2"/>
    <mergeCell ref="E4:E5"/>
    <mergeCell ref="F12:F13"/>
    <mergeCell ref="F10:F11"/>
    <mergeCell ref="B12:B13"/>
    <mergeCell ref="F6:F7"/>
    <mergeCell ref="F8:F9"/>
    <mergeCell ref="B10:B11"/>
    <mergeCell ref="A18:A19"/>
    <mergeCell ref="E6:E7"/>
    <mergeCell ref="B8:B9"/>
    <mergeCell ref="E8:E9"/>
    <mergeCell ref="E10:E11"/>
    <mergeCell ref="G30:H30"/>
    <mergeCell ref="A23:E23"/>
    <mergeCell ref="A24:E24"/>
    <mergeCell ref="A30:B30"/>
    <mergeCell ref="G29:H29"/>
    <mergeCell ref="A12:A13"/>
    <mergeCell ref="A16:A17"/>
    <mergeCell ref="B18:B19"/>
    <mergeCell ref="B16:B17"/>
    <mergeCell ref="E16:E17"/>
    <mergeCell ref="E14:E15"/>
    <mergeCell ref="E12:E13"/>
    <mergeCell ref="E18:E19"/>
    <mergeCell ref="B14:B15"/>
    <mergeCell ref="B6:B7"/>
    <mergeCell ref="B4:B5"/>
    <mergeCell ref="D34:F34"/>
    <mergeCell ref="F18:F19"/>
    <mergeCell ref="A21:E21"/>
    <mergeCell ref="A22:E22"/>
    <mergeCell ref="F14:F15"/>
    <mergeCell ref="F16:F17"/>
    <mergeCell ref="A10:A11"/>
    <mergeCell ref="A14:A15"/>
    <mergeCell ref="A8:A9"/>
  </mergeCells>
  <phoneticPr fontId="0" type="noConversion"/>
  <printOptions horizontalCentered="1"/>
  <pageMargins left="0.39370078740157483" right="0.39370078740157483" top="0.59055118110236227" bottom="0.39370078740157483" header="0.15748031496062992" footer="0.19685039370078741"/>
  <pageSetup paperSize="9" scale="75" orientation="portrait" verticalDpi="4294967295" r:id="rId2"/>
  <headerFooter scaleWithDoc="0" alignWithMargins="0"/>
  <colBreaks count="1" manualBreakCount="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48"/>
  <sheetViews>
    <sheetView view="pageBreakPreview" topLeftCell="A12" zoomScale="90" zoomScaleNormal="85" zoomScaleSheetLayoutView="90" workbookViewId="0">
      <selection activeCell="A29" sqref="A29:L29"/>
    </sheetView>
  </sheetViews>
  <sheetFormatPr defaultColWidth="9.109375" defaultRowHeight="15.6"/>
  <cols>
    <col min="1" max="1" width="4.6640625" style="37" customWidth="1"/>
    <col min="2" max="2" width="9.44140625" style="37" customWidth="1"/>
    <col min="3" max="3" width="9.6640625" style="37" customWidth="1"/>
    <col min="4" max="4" width="4.5546875" style="94" customWidth="1"/>
    <col min="5" max="5" width="10.44140625" style="94" customWidth="1"/>
    <col min="6" max="6" width="3.88671875" style="96" customWidth="1"/>
    <col min="7" max="7" width="10.33203125" style="94" customWidth="1"/>
    <col min="8" max="8" width="5.109375" style="37" customWidth="1"/>
    <col min="9" max="9" width="9.44140625" style="37" customWidth="1"/>
    <col min="10" max="10" width="5.33203125" style="97" customWidth="1"/>
    <col min="11" max="11" width="10.109375" style="37" customWidth="1"/>
    <col min="12" max="12" width="9.6640625" style="37" customWidth="1"/>
    <col min="13" max="13" width="10.6640625" style="37" bestFit="1" customWidth="1"/>
    <col min="14" max="14" width="11" style="37" bestFit="1" customWidth="1"/>
    <col min="15" max="16384" width="9.109375" style="37"/>
  </cols>
  <sheetData>
    <row r="1" spans="1:14" ht="47.25" customHeight="1" thickBot="1">
      <c r="A1" s="306" t="str">
        <f>'FACE SHEET'!A21</f>
        <v>કામ નું નામ :</v>
      </c>
      <c r="B1" s="307"/>
      <c r="C1" s="304" t="str">
        <f>Abstract!B2</f>
        <v xml:space="preserve">ગોળજ ગામે ઉનાળીયા ચેરમેનના ઘર થી ખૂટતા સી.સી. રસ્તાનું કામ . </v>
      </c>
      <c r="D1" s="257"/>
      <c r="E1" s="257"/>
      <c r="F1" s="257"/>
      <c r="G1" s="257"/>
      <c r="H1" s="257"/>
      <c r="I1" s="257"/>
      <c r="J1" s="257"/>
      <c r="K1" s="257"/>
      <c r="L1" s="305"/>
    </row>
    <row r="2" spans="1:14" ht="27" customHeight="1" thickBot="1">
      <c r="A2" s="308" t="s">
        <v>22</v>
      </c>
      <c r="B2" s="309"/>
      <c r="C2" s="309"/>
      <c r="D2" s="309"/>
      <c r="E2" s="309"/>
      <c r="F2" s="309"/>
      <c r="G2" s="309"/>
      <c r="H2" s="309"/>
      <c r="I2" s="309"/>
      <c r="J2" s="309"/>
      <c r="K2" s="309"/>
      <c r="L2" s="310"/>
      <c r="N2" s="94"/>
    </row>
    <row r="3" spans="1:14" ht="55.5" customHeight="1">
      <c r="A3" s="313" t="s">
        <v>74</v>
      </c>
      <c r="B3" s="314"/>
      <c r="C3" s="314"/>
      <c r="D3" s="314"/>
      <c r="E3" s="314"/>
      <c r="F3" s="314"/>
      <c r="G3" s="314"/>
      <c r="H3" s="314"/>
      <c r="I3" s="314"/>
      <c r="J3" s="314"/>
      <c r="K3" s="314"/>
      <c r="L3" s="315"/>
      <c r="N3" s="94"/>
    </row>
    <row r="4" spans="1:14" ht="19.5" customHeight="1">
      <c r="A4" s="98"/>
      <c r="B4" s="99"/>
      <c r="C4" s="134">
        <v>1</v>
      </c>
      <c r="D4" s="133" t="s">
        <v>40</v>
      </c>
      <c r="E4" s="133">
        <v>40</v>
      </c>
      <c r="F4" s="145" t="s">
        <v>40</v>
      </c>
      <c r="G4" s="133">
        <v>3</v>
      </c>
      <c r="H4" s="145" t="s">
        <v>40</v>
      </c>
      <c r="I4" s="133">
        <v>0.3</v>
      </c>
      <c r="J4" s="146" t="s">
        <v>67</v>
      </c>
      <c r="K4" s="136">
        <f>E4*G4*I4</f>
        <v>36</v>
      </c>
      <c r="L4" s="129" t="s">
        <v>71</v>
      </c>
    </row>
    <row r="5" spans="1:14">
      <c r="A5" s="12"/>
      <c r="B5" s="6"/>
      <c r="C5" s="104"/>
      <c r="D5" s="105"/>
      <c r="E5" s="106"/>
      <c r="G5" s="95"/>
      <c r="H5" s="102"/>
      <c r="I5" s="312"/>
      <c r="J5" s="312"/>
      <c r="K5" s="105"/>
      <c r="L5" s="7"/>
    </row>
    <row r="6" spans="1:14" s="108" customFormat="1" ht="41.25" customHeight="1">
      <c r="A6" s="313" t="s">
        <v>110</v>
      </c>
      <c r="B6" s="314"/>
      <c r="C6" s="314"/>
      <c r="D6" s="314"/>
      <c r="E6" s="314"/>
      <c r="F6" s="314"/>
      <c r="G6" s="314"/>
      <c r="H6" s="314"/>
      <c r="I6" s="314"/>
      <c r="J6" s="314"/>
      <c r="K6" s="314"/>
      <c r="L6" s="315"/>
    </row>
    <row r="7" spans="1:14">
      <c r="A7" s="316" t="s">
        <v>42</v>
      </c>
      <c r="B7" s="317"/>
      <c r="C7" s="134">
        <v>1</v>
      </c>
      <c r="D7" s="144" t="s">
        <v>40</v>
      </c>
      <c r="E7" s="133">
        <f>E4</f>
        <v>40</v>
      </c>
      <c r="F7" s="144" t="s">
        <v>40</v>
      </c>
      <c r="G7" s="133">
        <f>G4</f>
        <v>3</v>
      </c>
      <c r="H7" s="145" t="s">
        <v>40</v>
      </c>
      <c r="I7" s="133">
        <v>0.12</v>
      </c>
      <c r="J7" s="147" t="s">
        <v>67</v>
      </c>
      <c r="K7" s="136">
        <f>E7*G7*I7</f>
        <v>14.399999999999999</v>
      </c>
      <c r="L7" s="7"/>
    </row>
    <row r="8" spans="1:14">
      <c r="A8" s="316" t="s">
        <v>43</v>
      </c>
      <c r="B8" s="317"/>
      <c r="C8" s="317"/>
      <c r="D8" s="317"/>
      <c r="E8" s="133">
        <f>K7</f>
        <v>14.399999999999999</v>
      </c>
      <c r="F8" s="148" t="s">
        <v>40</v>
      </c>
      <c r="G8" s="137">
        <v>0.15</v>
      </c>
      <c r="H8" s="135"/>
      <c r="I8" s="138"/>
      <c r="J8" s="139"/>
      <c r="K8" s="140">
        <f>E8*G8</f>
        <v>2.1599999999999997</v>
      </c>
      <c r="L8" s="7"/>
    </row>
    <row r="9" spans="1:14">
      <c r="A9" s="12"/>
      <c r="B9" s="6"/>
      <c r="C9" s="104"/>
      <c r="D9" s="105"/>
      <c r="E9" s="106"/>
      <c r="G9" s="95"/>
      <c r="H9" s="102"/>
      <c r="I9" s="311" t="s">
        <v>41</v>
      </c>
      <c r="J9" s="311"/>
      <c r="K9" s="136">
        <f>SUM(K7:K8)</f>
        <v>16.559999999999999</v>
      </c>
      <c r="L9" s="129" t="s">
        <v>71</v>
      </c>
    </row>
    <row r="10" spans="1:14">
      <c r="A10" s="12"/>
      <c r="B10" s="6"/>
      <c r="C10" s="104"/>
      <c r="D10" s="105"/>
      <c r="E10" s="106"/>
      <c r="G10" s="95"/>
      <c r="H10" s="102"/>
      <c r="I10" s="107"/>
      <c r="J10" s="107"/>
      <c r="K10" s="103"/>
      <c r="L10" s="11"/>
    </row>
    <row r="11" spans="1:14" s="111" customFormat="1" ht="42.75" customHeight="1">
      <c r="A11" s="313" t="s">
        <v>111</v>
      </c>
      <c r="B11" s="314"/>
      <c r="C11" s="314"/>
      <c r="D11" s="314"/>
      <c r="E11" s="314"/>
      <c r="F11" s="314"/>
      <c r="G11" s="314"/>
      <c r="H11" s="314"/>
      <c r="I11" s="314"/>
      <c r="J11" s="314"/>
      <c r="K11" s="314"/>
      <c r="L11" s="315"/>
    </row>
    <row r="12" spans="1:14" s="111" customFormat="1" ht="20.25" customHeight="1">
      <c r="A12" s="318" t="s">
        <v>42</v>
      </c>
      <c r="B12" s="319"/>
      <c r="C12" s="132" t="s">
        <v>66</v>
      </c>
      <c r="D12" s="99"/>
      <c r="E12" s="112"/>
      <c r="F12" s="110"/>
      <c r="G12" s="137">
        <f>K9</f>
        <v>16.559999999999999</v>
      </c>
      <c r="H12" s="142" t="s">
        <v>40</v>
      </c>
      <c r="I12" s="137">
        <v>25</v>
      </c>
      <c r="J12" s="143" t="s">
        <v>67</v>
      </c>
      <c r="K12" s="141">
        <f>I12*G12%</f>
        <v>4.1399999999999997</v>
      </c>
      <c r="L12" s="130" t="s">
        <v>71</v>
      </c>
    </row>
    <row r="13" spans="1:14" s="111" customFormat="1">
      <c r="A13" s="117"/>
      <c r="B13" s="118"/>
      <c r="C13" s="99"/>
      <c r="D13" s="99"/>
      <c r="E13" s="112"/>
      <c r="F13" s="110"/>
      <c r="G13" s="110"/>
      <c r="H13" s="113"/>
      <c r="I13" s="110"/>
      <c r="J13" s="114"/>
      <c r="K13" s="115"/>
      <c r="L13" s="116"/>
    </row>
    <row r="14" spans="1:14" s="111" customFormat="1" ht="54.75" customHeight="1">
      <c r="A14" s="313" t="s">
        <v>77</v>
      </c>
      <c r="B14" s="314"/>
      <c r="C14" s="314"/>
      <c r="D14" s="314"/>
      <c r="E14" s="314"/>
      <c r="F14" s="314"/>
      <c r="G14" s="314"/>
      <c r="H14" s="314"/>
      <c r="I14" s="314"/>
      <c r="J14" s="314"/>
      <c r="K14" s="314"/>
      <c r="L14" s="315"/>
    </row>
    <row r="15" spans="1:14">
      <c r="A15" s="320" t="s">
        <v>72</v>
      </c>
      <c r="B15" s="321"/>
      <c r="C15" s="321"/>
      <c r="D15" s="321"/>
      <c r="E15" s="321"/>
      <c r="F15" s="321"/>
      <c r="G15" s="321"/>
      <c r="H15" s="321"/>
      <c r="I15" s="321"/>
      <c r="J15" s="120" t="s">
        <v>67</v>
      </c>
      <c r="K15" s="136">
        <f>K9</f>
        <v>16.559999999999999</v>
      </c>
      <c r="L15" s="129" t="s">
        <v>71</v>
      </c>
    </row>
    <row r="16" spans="1:14">
      <c r="A16" s="121"/>
      <c r="B16" s="119"/>
      <c r="C16" s="119"/>
      <c r="D16" s="122"/>
      <c r="E16" s="122"/>
      <c r="F16" s="122"/>
      <c r="G16" s="122"/>
      <c r="H16" s="122"/>
      <c r="I16" s="122"/>
      <c r="J16" s="120"/>
      <c r="K16" s="103"/>
      <c r="L16" s="11"/>
    </row>
    <row r="17" spans="1:12" s="111" customFormat="1" ht="33" customHeight="1">
      <c r="A17" s="313" t="s">
        <v>68</v>
      </c>
      <c r="B17" s="314"/>
      <c r="C17" s="314"/>
      <c r="D17" s="314"/>
      <c r="E17" s="314"/>
      <c r="F17" s="314"/>
      <c r="G17" s="314"/>
      <c r="H17" s="314"/>
      <c r="I17" s="314"/>
      <c r="J17" s="314"/>
      <c r="K17" s="314"/>
      <c r="L17" s="315"/>
    </row>
    <row r="18" spans="1:12">
      <c r="A18" s="320" t="s">
        <v>73</v>
      </c>
      <c r="B18" s="321"/>
      <c r="C18" s="321"/>
      <c r="D18" s="321"/>
      <c r="E18" s="321"/>
      <c r="F18" s="321"/>
      <c r="G18" s="321"/>
      <c r="H18" s="321"/>
      <c r="I18" s="321"/>
      <c r="J18" s="120" t="s">
        <v>67</v>
      </c>
      <c r="K18" s="136">
        <f>K12</f>
        <v>4.1399999999999997</v>
      </c>
      <c r="L18" s="129" t="s">
        <v>71</v>
      </c>
    </row>
    <row r="19" spans="1:12">
      <c r="A19" s="121"/>
      <c r="B19" s="119"/>
      <c r="C19" s="119"/>
      <c r="D19" s="122"/>
      <c r="E19" s="122"/>
      <c r="F19" s="122"/>
      <c r="G19" s="122"/>
      <c r="H19" s="122"/>
      <c r="I19" s="122"/>
      <c r="J19" s="120"/>
      <c r="K19" s="103"/>
      <c r="L19" s="11"/>
    </row>
    <row r="20" spans="1:12" s="111" customFormat="1" ht="64.2" hidden="1" customHeight="1">
      <c r="A20" s="325" t="s">
        <v>69</v>
      </c>
      <c r="B20" s="326"/>
      <c r="C20" s="326"/>
      <c r="D20" s="326"/>
      <c r="E20" s="326"/>
      <c r="F20" s="326"/>
      <c r="G20" s="326"/>
      <c r="H20" s="326"/>
      <c r="I20" s="326"/>
      <c r="J20" s="326"/>
      <c r="K20" s="326"/>
      <c r="L20" s="327"/>
    </row>
    <row r="21" spans="1:12" hidden="1">
      <c r="A21" s="323" t="s">
        <v>44</v>
      </c>
      <c r="B21" s="324"/>
      <c r="C21" s="324"/>
      <c r="D21" s="105"/>
      <c r="E21" s="105" t="e">
        <f>#REF!</f>
        <v>#REF!</v>
      </c>
      <c r="F21" s="123" t="s">
        <v>40</v>
      </c>
      <c r="G21" s="105" t="e">
        <f>#REF!</f>
        <v>#REF!</v>
      </c>
      <c r="H21" s="6"/>
      <c r="J21" s="109" t="s">
        <v>67</v>
      </c>
      <c r="K21" s="103" t="e">
        <f>TRUNC((G21*E21),2)</f>
        <v>#REF!</v>
      </c>
      <c r="L21" s="11" t="s">
        <v>45</v>
      </c>
    </row>
    <row r="22" spans="1:12" hidden="1">
      <c r="A22" s="121"/>
      <c r="B22" s="119"/>
      <c r="C22" s="119"/>
      <c r="D22" s="105"/>
      <c r="E22" s="105"/>
      <c r="F22" s="123"/>
      <c r="G22" s="105"/>
      <c r="H22" s="6"/>
      <c r="J22" s="109"/>
      <c r="K22" s="103"/>
      <c r="L22" s="11"/>
    </row>
    <row r="23" spans="1:12" s="111" customFormat="1" ht="51.75" customHeight="1">
      <c r="A23" s="313" t="s">
        <v>83</v>
      </c>
      <c r="B23" s="314"/>
      <c r="C23" s="314"/>
      <c r="D23" s="314"/>
      <c r="E23" s="314"/>
      <c r="F23" s="314"/>
      <c r="G23" s="314"/>
      <c r="H23" s="314"/>
      <c r="I23" s="314"/>
      <c r="J23" s="314"/>
      <c r="K23" s="314"/>
      <c r="L23" s="315"/>
    </row>
    <row r="24" spans="1:12">
      <c r="A24" s="316" t="s">
        <v>42</v>
      </c>
      <c r="B24" s="317"/>
      <c r="C24" s="100"/>
      <c r="D24" s="101"/>
      <c r="E24" s="133">
        <f>E4</f>
        <v>40</v>
      </c>
      <c r="F24" s="144" t="s">
        <v>40</v>
      </c>
      <c r="G24" s="133">
        <f>G4</f>
        <v>3</v>
      </c>
      <c r="H24" s="145" t="s">
        <v>40</v>
      </c>
      <c r="I24" s="133">
        <v>0.1</v>
      </c>
      <c r="J24" s="147" t="s">
        <v>67</v>
      </c>
      <c r="K24" s="136">
        <f>E24*G24*I24</f>
        <v>12</v>
      </c>
      <c r="L24" s="129" t="s">
        <v>71</v>
      </c>
    </row>
    <row r="25" spans="1:12">
      <c r="A25" s="124"/>
      <c r="B25" s="112"/>
      <c r="C25" s="100"/>
      <c r="D25" s="101"/>
      <c r="E25" s="101"/>
      <c r="F25" s="101"/>
      <c r="G25" s="101"/>
      <c r="H25" s="102"/>
      <c r="I25" s="101"/>
      <c r="J25" s="109"/>
      <c r="K25" s="103"/>
      <c r="L25" s="11"/>
    </row>
    <row r="26" spans="1:12" s="111" customFormat="1" ht="38.4" customHeight="1">
      <c r="A26" s="313" t="str">
        <f>Abstract!C16</f>
        <v>Item No :- 7 Testing charges for Kapchi,Metal,Sand,Cement,C.C. Cube as per schedule of testing</v>
      </c>
      <c r="B26" s="314"/>
      <c r="C26" s="314"/>
      <c r="D26" s="314"/>
      <c r="E26" s="314"/>
      <c r="F26" s="314"/>
      <c r="G26" s="314"/>
      <c r="H26" s="314"/>
      <c r="I26" s="314"/>
      <c r="J26" s="314"/>
      <c r="K26" s="314"/>
      <c r="L26" s="315"/>
    </row>
    <row r="27" spans="1:12" s="111" customFormat="1">
      <c r="A27" s="238"/>
      <c r="B27" s="239"/>
      <c r="C27" s="239"/>
      <c r="D27" s="239"/>
      <c r="E27" s="239"/>
      <c r="F27" s="239"/>
      <c r="G27" s="239"/>
      <c r="H27" s="239"/>
      <c r="I27" s="239"/>
      <c r="J27" s="383" t="s">
        <v>67</v>
      </c>
      <c r="K27" s="384">
        <v>1</v>
      </c>
      <c r="L27" s="385" t="s">
        <v>48</v>
      </c>
    </row>
    <row r="28" spans="1:12" s="111" customFormat="1">
      <c r="A28" s="238"/>
      <c r="B28" s="239"/>
      <c r="C28" s="239"/>
      <c r="D28" s="239"/>
      <c r="E28" s="239"/>
      <c r="F28" s="239"/>
      <c r="G28" s="239"/>
      <c r="H28" s="239"/>
      <c r="I28" s="239"/>
      <c r="J28" s="239"/>
      <c r="K28" s="239"/>
      <c r="L28" s="240"/>
    </row>
    <row r="29" spans="1:12" s="111" customFormat="1" ht="38.4" customHeight="1">
      <c r="A29" s="313" t="str">
        <f>Abstract!C18</f>
        <v xml:space="preserve">Item No :- 8 Providing and fixing number plate of marble stone of required size set in C. M. 1 : 4 including finishing and engraving letters etc. complete.                </v>
      </c>
      <c r="B29" s="314"/>
      <c r="C29" s="314"/>
      <c r="D29" s="314"/>
      <c r="E29" s="314"/>
      <c r="F29" s="314"/>
      <c r="G29" s="314"/>
      <c r="H29" s="314"/>
      <c r="I29" s="314"/>
      <c r="J29" s="314"/>
      <c r="K29" s="314"/>
      <c r="L29" s="315"/>
    </row>
    <row r="30" spans="1:12" s="111" customFormat="1" ht="16.2" thickBot="1">
      <c r="A30" s="238"/>
      <c r="B30" s="239"/>
      <c r="C30" s="239"/>
      <c r="D30" s="239"/>
      <c r="E30" s="239"/>
      <c r="F30" s="239"/>
      <c r="G30" s="239"/>
      <c r="H30" s="239"/>
      <c r="I30" s="239"/>
      <c r="J30" s="150" t="s">
        <v>67</v>
      </c>
      <c r="K30" s="149">
        <v>1</v>
      </c>
      <c r="L30" s="131" t="s">
        <v>48</v>
      </c>
    </row>
    <row r="31" spans="1:12">
      <c r="A31" s="125"/>
      <c r="B31" s="125"/>
      <c r="C31" s="125"/>
      <c r="D31" s="126"/>
      <c r="E31" s="126"/>
      <c r="F31" s="127"/>
      <c r="G31" s="126"/>
      <c r="H31" s="125"/>
    </row>
    <row r="32" spans="1:12">
      <c r="A32" s="125"/>
      <c r="B32" s="125"/>
      <c r="C32" s="125"/>
      <c r="D32" s="126"/>
      <c r="E32" s="126"/>
      <c r="F32" s="127"/>
      <c r="G32" s="126"/>
      <c r="H32" s="125"/>
      <c r="I32" s="322"/>
      <c r="J32" s="322"/>
      <c r="K32" s="322"/>
    </row>
    <row r="33" spans="1:11">
      <c r="A33" s="125"/>
      <c r="B33" s="125"/>
      <c r="C33" s="125"/>
      <c r="D33" s="126"/>
      <c r="E33" s="126"/>
      <c r="F33" s="127"/>
      <c r="G33" s="126"/>
      <c r="H33" s="125"/>
      <c r="I33" s="322"/>
      <c r="J33" s="322"/>
      <c r="K33" s="322"/>
    </row>
    <row r="34" spans="1:11">
      <c r="A34" s="125"/>
      <c r="B34" s="125"/>
      <c r="C34" s="125"/>
      <c r="D34" s="126"/>
      <c r="E34" s="126"/>
      <c r="F34" s="127"/>
      <c r="G34" s="126"/>
      <c r="H34" s="125"/>
      <c r="I34" s="322"/>
      <c r="J34" s="322"/>
      <c r="K34" s="322"/>
    </row>
    <row r="35" spans="1:11">
      <c r="A35" s="125"/>
      <c r="B35" s="125"/>
      <c r="C35" s="125"/>
      <c r="D35" s="126"/>
      <c r="E35" s="126"/>
      <c r="F35" s="127"/>
      <c r="G35" s="126"/>
      <c r="H35" s="125"/>
    </row>
    <row r="36" spans="1:11">
      <c r="A36" s="125"/>
      <c r="B36" s="125"/>
      <c r="C36" s="125"/>
      <c r="D36" s="126"/>
      <c r="E36" s="126"/>
      <c r="F36" s="127"/>
      <c r="G36" s="126"/>
      <c r="H36" s="125"/>
    </row>
    <row r="37" spans="1:11">
      <c r="A37" s="125"/>
      <c r="B37" s="125"/>
      <c r="C37" s="125"/>
      <c r="D37" s="126"/>
      <c r="E37" s="126"/>
      <c r="F37" s="127"/>
      <c r="G37" s="126"/>
      <c r="H37" s="125"/>
    </row>
    <row r="38" spans="1:11">
      <c r="A38" s="125"/>
      <c r="B38" s="125"/>
      <c r="C38" s="125"/>
      <c r="D38" s="126"/>
      <c r="E38" s="126"/>
      <c r="F38" s="127"/>
      <c r="G38" s="126"/>
      <c r="H38" s="125"/>
    </row>
    <row r="39" spans="1:11">
      <c r="A39" s="125"/>
      <c r="B39" s="125"/>
      <c r="C39" s="125"/>
      <c r="D39" s="126"/>
      <c r="E39" s="126"/>
      <c r="F39" s="127"/>
      <c r="G39" s="126"/>
      <c r="H39" s="125"/>
    </row>
    <row r="40" spans="1:11">
      <c r="A40" s="125"/>
      <c r="B40" s="125"/>
      <c r="C40" s="125"/>
      <c r="D40" s="126"/>
      <c r="E40" s="126"/>
      <c r="F40" s="127"/>
      <c r="G40" s="126"/>
      <c r="H40" s="125"/>
    </row>
    <row r="41" spans="1:11">
      <c r="A41" s="125"/>
      <c r="B41" s="125"/>
      <c r="C41" s="125"/>
      <c r="D41" s="126"/>
      <c r="E41" s="126"/>
      <c r="F41" s="127"/>
      <c r="G41" s="126"/>
      <c r="H41" s="125"/>
    </row>
    <row r="42" spans="1:11">
      <c r="A42" s="125"/>
      <c r="B42" s="125"/>
      <c r="C42" s="125"/>
      <c r="D42" s="126"/>
      <c r="E42" s="126"/>
      <c r="F42" s="127"/>
      <c r="G42" s="126"/>
      <c r="H42" s="125"/>
    </row>
    <row r="43" spans="1:11">
      <c r="A43" s="125"/>
      <c r="B43" s="125"/>
      <c r="C43" s="125"/>
      <c r="D43" s="126"/>
      <c r="E43" s="126"/>
      <c r="F43" s="127"/>
      <c r="G43" s="126"/>
      <c r="H43" s="125"/>
    </row>
    <row r="44" spans="1:11">
      <c r="A44" s="125"/>
      <c r="B44" s="125"/>
      <c r="C44" s="125"/>
      <c r="D44" s="126"/>
      <c r="E44" s="126"/>
      <c r="F44" s="127"/>
      <c r="G44" s="126"/>
      <c r="H44" s="125"/>
    </row>
    <row r="45" spans="1:11">
      <c r="A45" s="125"/>
      <c r="B45" s="125"/>
      <c r="C45" s="125"/>
      <c r="D45" s="126"/>
      <c r="E45" s="126"/>
      <c r="F45" s="127"/>
      <c r="G45" s="126"/>
      <c r="H45" s="125"/>
    </row>
    <row r="46" spans="1:11">
      <c r="A46" s="125"/>
      <c r="B46" s="125"/>
      <c r="C46" s="125"/>
      <c r="D46" s="126"/>
      <c r="E46" s="126"/>
      <c r="F46" s="127"/>
      <c r="G46" s="126"/>
      <c r="H46" s="125"/>
    </row>
    <row r="47" spans="1:11">
      <c r="A47" s="125"/>
      <c r="B47" s="125"/>
      <c r="C47" s="125"/>
      <c r="D47" s="126"/>
      <c r="E47" s="126"/>
      <c r="F47" s="127"/>
      <c r="G47" s="126"/>
      <c r="H47" s="125"/>
    </row>
    <row r="48" spans="1:11">
      <c r="A48" s="125"/>
      <c r="B48" s="125"/>
      <c r="C48" s="125"/>
      <c r="D48" s="126"/>
      <c r="E48" s="126"/>
      <c r="F48" s="127"/>
      <c r="G48" s="126"/>
      <c r="H48" s="125"/>
    </row>
  </sheetData>
  <customSheetViews>
    <customSheetView guid="{D6DF09BD-97F5-4B8B-B461-A7BC9875A0D8}" scale="90" showPageBreaks="1" printArea="1" hiddenRows="1" view="pageBreakPreview">
      <selection activeCell="C4" sqref="C4"/>
      <pageMargins left="0.39370078740157483" right="0.39370078740157483" top="0.59055118110236227" bottom="0.39370078740157483" header="0" footer="0.27559055118110237"/>
      <printOptions horizontalCentered="1"/>
      <pageSetup paperSize="9" scale="94" orientation="portrait" verticalDpi="4294967295" r:id="rId1"/>
      <headerFooter alignWithMargins="0"/>
    </customSheetView>
  </customSheetViews>
  <mergeCells count="24">
    <mergeCell ref="A17:L17"/>
    <mergeCell ref="A11:L11"/>
    <mergeCell ref="A12:B12"/>
    <mergeCell ref="A15:I15"/>
    <mergeCell ref="I34:K34"/>
    <mergeCell ref="A23:L23"/>
    <mergeCell ref="A24:B24"/>
    <mergeCell ref="A14:L14"/>
    <mergeCell ref="A21:C21"/>
    <mergeCell ref="A26:L26"/>
    <mergeCell ref="I33:K33"/>
    <mergeCell ref="I32:K32"/>
    <mergeCell ref="A20:L20"/>
    <mergeCell ref="A18:I18"/>
    <mergeCell ref="A29:L29"/>
    <mergeCell ref="C1:L1"/>
    <mergeCell ref="A1:B1"/>
    <mergeCell ref="A2:L2"/>
    <mergeCell ref="I9:J9"/>
    <mergeCell ref="I5:J5"/>
    <mergeCell ref="A3:L3"/>
    <mergeCell ref="A6:L6"/>
    <mergeCell ref="A8:D8"/>
    <mergeCell ref="A7:B7"/>
  </mergeCells>
  <phoneticPr fontId="0" type="noConversion"/>
  <printOptions horizontalCentered="1"/>
  <pageMargins left="0.39370078740157483" right="0.39370078740157483" top="0.59055118110236227" bottom="0.39370078740157483" header="0" footer="0.27559055118110237"/>
  <pageSetup paperSize="9" scale="94" orientation="portrait" verticalDpi="4294967295"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43"/>
  <sheetViews>
    <sheetView view="pageBreakPreview" zoomScaleNormal="100" zoomScaleSheetLayoutView="100" workbookViewId="0">
      <selection activeCell="G25" sqref="G25"/>
    </sheetView>
  </sheetViews>
  <sheetFormatPr defaultRowHeight="13.2"/>
  <cols>
    <col min="1" max="1" width="10" customWidth="1"/>
    <col min="2" max="2" width="12.33203125" customWidth="1"/>
    <col min="4" max="5" width="12.88671875" customWidth="1"/>
    <col min="6" max="6" width="14.21875" customWidth="1"/>
    <col min="7" max="8" width="12.88671875" customWidth="1"/>
    <col min="9" max="9" width="5.109375" customWidth="1"/>
  </cols>
  <sheetData>
    <row r="1" spans="1:10" ht="43.95" customHeight="1" thickBot="1">
      <c r="A1" s="332" t="str">
        <f>Measurement!A1</f>
        <v>કામ નું નામ :</v>
      </c>
      <c r="B1" s="333"/>
      <c r="C1" s="304" t="str">
        <f>Abstract!B2</f>
        <v xml:space="preserve">ગોળજ ગામે ઉનાળીયા ચેરમેનના ઘર થી ખૂટતા સી.સી. રસ્તાનું કામ . </v>
      </c>
      <c r="D1" s="257"/>
      <c r="E1" s="257"/>
      <c r="F1" s="257"/>
      <c r="G1" s="257"/>
      <c r="H1" s="257"/>
      <c r="I1" s="305"/>
      <c r="J1" s="151"/>
    </row>
    <row r="2" spans="1:10" ht="21.6" thickBot="1">
      <c r="A2" s="334" t="s">
        <v>37</v>
      </c>
      <c r="B2" s="335"/>
      <c r="C2" s="335"/>
      <c r="D2" s="335"/>
      <c r="E2" s="335"/>
      <c r="F2" s="335"/>
      <c r="G2" s="335"/>
      <c r="H2" s="335"/>
      <c r="I2" s="336"/>
    </row>
    <row r="3" spans="1:10" ht="68.400000000000006" customHeight="1">
      <c r="A3" s="313" t="str">
        <f>Measurement!A23</f>
        <v xml:space="preserve">Item No. :- 6 Providing and Laying Ordinary Ciment Concrete 1:2:4 exposed work with  Curing etc. Complete including compacting with surface mechanical vibrator,mechanical loater, channaling, from work, grooving, excluding cost of reinforcement for R.C.C work  . </v>
      </c>
      <c r="B3" s="314"/>
      <c r="C3" s="314"/>
      <c r="D3" s="314"/>
      <c r="E3" s="314"/>
      <c r="F3" s="314"/>
      <c r="G3" s="314"/>
      <c r="H3" s="314"/>
      <c r="I3" s="315"/>
    </row>
    <row r="4" spans="1:10" ht="15" customHeight="1">
      <c r="A4" s="155" t="s">
        <v>85</v>
      </c>
      <c r="B4" s="156"/>
      <c r="C4" s="156"/>
      <c r="D4" s="156"/>
      <c r="E4" s="156"/>
      <c r="F4" s="157" t="s">
        <v>67</v>
      </c>
      <c r="G4" s="158">
        <v>3616.35</v>
      </c>
      <c r="H4" s="159" t="s">
        <v>86</v>
      </c>
      <c r="I4" s="160" t="s">
        <v>38</v>
      </c>
    </row>
    <row r="5" spans="1:10" ht="15" customHeight="1">
      <c r="A5" s="161" t="s">
        <v>87</v>
      </c>
      <c r="B5" s="156"/>
      <c r="C5" s="156"/>
      <c r="D5" s="156"/>
      <c r="E5" s="156"/>
      <c r="F5" s="157"/>
      <c r="G5" s="158"/>
      <c r="H5" s="159"/>
      <c r="I5" s="160"/>
    </row>
    <row r="6" spans="1:10" ht="35.25" customHeight="1">
      <c r="A6" s="337" t="s">
        <v>88</v>
      </c>
      <c r="B6" s="338"/>
      <c r="C6" s="338"/>
      <c r="D6" s="338"/>
      <c r="E6" s="338"/>
      <c r="F6" s="338"/>
      <c r="G6" s="338"/>
      <c r="H6" s="338"/>
      <c r="I6" s="339"/>
    </row>
    <row r="7" spans="1:10" ht="15" customHeight="1">
      <c r="A7" s="162"/>
      <c r="B7" s="156"/>
      <c r="C7" s="156"/>
      <c r="D7" s="156"/>
      <c r="E7" s="156"/>
      <c r="F7" s="156"/>
      <c r="G7" s="156"/>
      <c r="H7" s="156"/>
      <c r="I7" s="160"/>
    </row>
    <row r="8" spans="1:10" ht="33.75" customHeight="1">
      <c r="A8" s="162" t="s">
        <v>89</v>
      </c>
      <c r="B8" s="156"/>
      <c r="C8" s="156"/>
      <c r="D8" s="156"/>
      <c r="E8" s="156"/>
      <c r="F8" s="156"/>
      <c r="G8" s="156"/>
      <c r="H8" s="156"/>
      <c r="I8" s="160"/>
    </row>
    <row r="9" spans="1:10" ht="15" customHeight="1">
      <c r="A9" s="162" t="s">
        <v>90</v>
      </c>
      <c r="B9" s="156"/>
      <c r="C9" s="156"/>
      <c r="D9" s="156"/>
      <c r="E9" s="156"/>
      <c r="F9" s="156"/>
      <c r="G9" s="156"/>
      <c r="H9" s="156"/>
      <c r="I9" s="160"/>
    </row>
    <row r="10" spans="1:10" ht="15">
      <c r="A10" s="162" t="s">
        <v>91</v>
      </c>
      <c r="B10" s="156"/>
      <c r="C10" s="163">
        <v>10</v>
      </c>
      <c r="D10" s="164" t="s">
        <v>75</v>
      </c>
      <c r="E10" s="163">
        <v>125</v>
      </c>
      <c r="F10" s="156" t="s">
        <v>39</v>
      </c>
      <c r="G10" s="165">
        <f>C10*E10</f>
        <v>1250</v>
      </c>
      <c r="H10" s="159" t="s">
        <v>86</v>
      </c>
      <c r="I10" s="160" t="s">
        <v>39</v>
      </c>
    </row>
    <row r="11" spans="1:10" ht="33.75" customHeight="1">
      <c r="A11" s="162"/>
      <c r="B11" s="156"/>
      <c r="C11" s="156"/>
      <c r="D11" s="156"/>
      <c r="E11" s="156"/>
      <c r="F11" s="159" t="s">
        <v>92</v>
      </c>
      <c r="G11" s="166">
        <f>SUM(G4:G10)</f>
        <v>4866.3500000000004</v>
      </c>
      <c r="H11" s="167" t="s">
        <v>86</v>
      </c>
      <c r="I11" s="160"/>
    </row>
    <row r="12" spans="1:10" ht="15" customHeight="1">
      <c r="A12" s="162"/>
      <c r="B12" s="156"/>
      <c r="C12" s="156"/>
      <c r="D12" s="156"/>
      <c r="E12" s="156"/>
      <c r="F12" s="156"/>
      <c r="G12" s="156"/>
      <c r="H12" s="156"/>
      <c r="I12" s="160"/>
    </row>
    <row r="13" spans="1:10" ht="15" customHeight="1">
      <c r="A13" s="162"/>
      <c r="B13" s="156"/>
      <c r="C13" s="156"/>
      <c r="D13" s="156"/>
      <c r="E13" s="156"/>
      <c r="F13" s="156"/>
      <c r="G13" s="156"/>
      <c r="H13" s="156"/>
      <c r="I13" s="160"/>
    </row>
    <row r="14" spans="1:10" ht="15.6">
      <c r="A14" s="168" t="s">
        <v>93</v>
      </c>
      <c r="B14" s="156"/>
      <c r="C14" s="156"/>
      <c r="D14" s="156"/>
      <c r="E14" s="156"/>
      <c r="F14" s="159"/>
      <c r="G14" s="166">
        <f>G11</f>
        <v>4866.3500000000004</v>
      </c>
      <c r="H14" s="167" t="s">
        <v>86</v>
      </c>
      <c r="I14" s="160"/>
    </row>
    <row r="15" spans="1:10" ht="15">
      <c r="A15" s="162"/>
      <c r="B15" s="156"/>
      <c r="C15" s="156"/>
      <c r="D15" s="156"/>
      <c r="E15" s="156"/>
      <c r="F15" s="159"/>
      <c r="G15" s="156"/>
      <c r="H15" s="156"/>
      <c r="I15" s="160"/>
    </row>
    <row r="16" spans="1:10" ht="15" customHeight="1">
      <c r="A16" s="330" t="s">
        <v>140</v>
      </c>
      <c r="B16" s="330"/>
      <c r="C16" s="330"/>
      <c r="D16" s="330"/>
      <c r="E16" s="330"/>
      <c r="F16" s="330"/>
      <c r="G16" s="330"/>
      <c r="H16" s="169"/>
      <c r="I16" s="169"/>
    </row>
    <row r="17" spans="1:14" ht="39.6">
      <c r="A17" s="170" t="s">
        <v>94</v>
      </c>
      <c r="B17" s="170" t="s">
        <v>95</v>
      </c>
      <c r="C17" s="171" t="s">
        <v>96</v>
      </c>
      <c r="D17" s="170"/>
      <c r="E17" s="170" t="s">
        <v>97</v>
      </c>
      <c r="F17" s="170"/>
      <c r="G17" s="170" t="s">
        <v>23</v>
      </c>
      <c r="H17" s="172"/>
      <c r="I17" s="172"/>
    </row>
    <row r="18" spans="1:14" ht="15" customHeight="1">
      <c r="A18" s="170">
        <v>1</v>
      </c>
      <c r="B18" s="170" t="s">
        <v>98</v>
      </c>
      <c r="C18" s="173">
        <v>0</v>
      </c>
      <c r="D18" s="173" t="s">
        <v>40</v>
      </c>
      <c r="E18" s="173">
        <v>578</v>
      </c>
      <c r="F18" s="173" t="s">
        <v>67</v>
      </c>
      <c r="G18" s="170">
        <f t="shared" ref="G18:G27" si="0">C18*E18</f>
        <v>0</v>
      </c>
      <c r="H18" s="172"/>
      <c r="I18" s="172"/>
      <c r="M18" s="331"/>
      <c r="N18" s="331"/>
    </row>
    <row r="19" spans="1:14">
      <c r="A19" s="170">
        <v>2</v>
      </c>
      <c r="B19" s="170" t="s">
        <v>99</v>
      </c>
      <c r="C19" s="173">
        <v>1</v>
      </c>
      <c r="D19" s="173" t="s">
        <v>40</v>
      </c>
      <c r="E19" s="173">
        <v>388</v>
      </c>
      <c r="F19" s="173" t="s">
        <v>67</v>
      </c>
      <c r="G19" s="170">
        <f t="shared" si="0"/>
        <v>388</v>
      </c>
      <c r="H19" s="172"/>
      <c r="I19" s="172"/>
      <c r="M19" s="152"/>
    </row>
    <row r="20" spans="1:14" ht="15" customHeight="1">
      <c r="A20" s="170">
        <v>3</v>
      </c>
      <c r="B20" s="170" t="s">
        <v>100</v>
      </c>
      <c r="C20" s="173">
        <v>1</v>
      </c>
      <c r="D20" s="173" t="s">
        <v>40</v>
      </c>
      <c r="E20" s="173">
        <v>788</v>
      </c>
      <c r="F20" s="173" t="s">
        <v>67</v>
      </c>
      <c r="G20" s="170">
        <f t="shared" si="0"/>
        <v>788</v>
      </c>
      <c r="H20" s="172"/>
      <c r="I20" s="172"/>
      <c r="M20" s="152"/>
    </row>
    <row r="21" spans="1:14" ht="18" customHeight="1">
      <c r="A21" s="170">
        <v>4</v>
      </c>
      <c r="B21" s="170" t="s">
        <v>101</v>
      </c>
      <c r="C21" s="173">
        <v>1</v>
      </c>
      <c r="D21" s="173" t="s">
        <v>40</v>
      </c>
      <c r="E21" s="173">
        <v>238</v>
      </c>
      <c r="F21" s="173" t="s">
        <v>67</v>
      </c>
      <c r="G21" s="170">
        <f t="shared" si="0"/>
        <v>238</v>
      </c>
      <c r="H21" s="172"/>
      <c r="I21" s="172"/>
      <c r="M21" s="152"/>
    </row>
    <row r="22" spans="1:14" ht="18" customHeight="1">
      <c r="A22" s="170">
        <v>5</v>
      </c>
      <c r="B22" s="170" t="s">
        <v>102</v>
      </c>
      <c r="C22" s="173">
        <v>1</v>
      </c>
      <c r="D22" s="173" t="s">
        <v>40</v>
      </c>
      <c r="E22" s="173">
        <v>546</v>
      </c>
      <c r="F22" s="173" t="s">
        <v>67</v>
      </c>
      <c r="G22" s="170">
        <f t="shared" si="0"/>
        <v>546</v>
      </c>
      <c r="H22" s="172"/>
      <c r="I22" s="172"/>
      <c r="M22" s="152"/>
    </row>
    <row r="23" spans="1:14" ht="15">
      <c r="A23" s="170">
        <v>6</v>
      </c>
      <c r="B23" s="170" t="s">
        <v>103</v>
      </c>
      <c r="C23" s="173">
        <v>1</v>
      </c>
      <c r="D23" s="173" t="s">
        <v>40</v>
      </c>
      <c r="E23" s="173">
        <v>696</v>
      </c>
      <c r="F23" s="173" t="s">
        <v>67</v>
      </c>
      <c r="G23" s="170">
        <f t="shared" si="0"/>
        <v>696</v>
      </c>
      <c r="H23" s="174"/>
      <c r="I23" s="174"/>
      <c r="M23" s="152"/>
    </row>
    <row r="24" spans="1:14" ht="15" customHeight="1">
      <c r="A24" s="170">
        <v>7</v>
      </c>
      <c r="B24" s="170" t="s">
        <v>104</v>
      </c>
      <c r="C24" s="173">
        <v>0</v>
      </c>
      <c r="D24" s="173" t="s">
        <v>40</v>
      </c>
      <c r="E24" s="173">
        <v>220</v>
      </c>
      <c r="F24" s="173" t="s">
        <v>67</v>
      </c>
      <c r="G24" s="170">
        <f t="shared" si="0"/>
        <v>0</v>
      </c>
      <c r="H24" s="175"/>
      <c r="I24" s="175"/>
    </row>
    <row r="25" spans="1:14" ht="15" customHeight="1">
      <c r="A25" s="170">
        <v>8</v>
      </c>
      <c r="B25" s="170" t="s">
        <v>105</v>
      </c>
      <c r="C25" s="173">
        <v>0</v>
      </c>
      <c r="D25" s="173" t="s">
        <v>40</v>
      </c>
      <c r="E25" s="173">
        <v>294</v>
      </c>
      <c r="F25" s="173" t="s">
        <v>67</v>
      </c>
      <c r="G25" s="170">
        <f t="shared" si="0"/>
        <v>0</v>
      </c>
      <c r="H25" s="175"/>
      <c r="I25" s="175"/>
    </row>
    <row r="26" spans="1:14" ht="15" customHeight="1">
      <c r="A26" s="170">
        <v>9</v>
      </c>
      <c r="B26" s="170" t="s">
        <v>107</v>
      </c>
      <c r="C26" s="173">
        <v>0</v>
      </c>
      <c r="D26" s="173" t="s">
        <v>40</v>
      </c>
      <c r="E26" s="173">
        <v>300</v>
      </c>
      <c r="F26" s="173" t="s">
        <v>67</v>
      </c>
      <c r="G26" s="170">
        <f t="shared" si="0"/>
        <v>0</v>
      </c>
      <c r="H26" s="175"/>
      <c r="I26" s="175"/>
    </row>
    <row r="27" spans="1:14">
      <c r="A27" s="170">
        <v>10</v>
      </c>
      <c r="B27" s="170" t="s">
        <v>106</v>
      </c>
      <c r="C27" s="173">
        <v>0</v>
      </c>
      <c r="D27" s="173" t="s">
        <v>40</v>
      </c>
      <c r="E27" s="173">
        <v>300</v>
      </c>
      <c r="F27" s="173" t="s">
        <v>67</v>
      </c>
      <c r="G27" s="170">
        <f t="shared" si="0"/>
        <v>0</v>
      </c>
      <c r="H27" s="176"/>
      <c r="I27" s="176"/>
    </row>
    <row r="28" spans="1:14">
      <c r="A28" s="170"/>
      <c r="B28" s="177"/>
      <c r="C28" s="177"/>
      <c r="D28" s="177"/>
      <c r="E28" s="177"/>
      <c r="F28" s="177"/>
      <c r="G28" s="170">
        <f>SUM(G18:G27)</f>
        <v>2656</v>
      </c>
      <c r="H28" s="176"/>
      <c r="I28" s="176"/>
    </row>
    <row r="29" spans="1:14">
      <c r="A29" s="155"/>
      <c r="B29" s="176"/>
      <c r="C29" s="176"/>
      <c r="D29" s="176"/>
      <c r="E29" s="176"/>
      <c r="F29" s="176"/>
      <c r="G29" s="176"/>
      <c r="H29" s="176"/>
      <c r="I29" s="178"/>
    </row>
    <row r="30" spans="1:14">
      <c r="A30" s="179"/>
      <c r="B30" s="176"/>
      <c r="C30" s="176"/>
      <c r="D30" s="176"/>
      <c r="E30" s="176"/>
      <c r="F30" s="176"/>
      <c r="G30" s="176"/>
      <c r="H30" s="176"/>
      <c r="I30" s="178"/>
    </row>
    <row r="31" spans="1:14">
      <c r="A31" s="179"/>
      <c r="B31" s="176"/>
      <c r="C31" s="176"/>
      <c r="D31" s="176"/>
      <c r="E31" s="176"/>
      <c r="F31" s="176"/>
      <c r="G31" s="176"/>
      <c r="H31" s="176"/>
      <c r="I31" s="178"/>
    </row>
    <row r="32" spans="1:14">
      <c r="A32" s="179"/>
      <c r="B32" s="176"/>
      <c r="C32" s="176"/>
      <c r="D32" s="176"/>
      <c r="E32" s="176"/>
      <c r="F32" s="176"/>
      <c r="G32" s="176"/>
      <c r="H32" s="176"/>
      <c r="I32" s="178"/>
    </row>
    <row r="33" spans="1:9" ht="15">
      <c r="A33" s="179"/>
      <c r="B33" s="328"/>
      <c r="C33" s="328"/>
      <c r="D33" s="328"/>
      <c r="E33" s="176"/>
      <c r="F33" s="176"/>
      <c r="G33" s="176"/>
      <c r="H33" s="176"/>
      <c r="I33" s="178"/>
    </row>
    <row r="34" spans="1:9">
      <c r="A34" s="176"/>
      <c r="B34" s="176"/>
      <c r="C34" s="176"/>
      <c r="D34" s="176"/>
      <c r="E34" s="176"/>
      <c r="F34" s="176"/>
      <c r="G34" s="176"/>
      <c r="H34" s="176"/>
      <c r="I34" s="176"/>
    </row>
    <row r="35" spans="1:9">
      <c r="A35" s="176"/>
      <c r="B35" s="176"/>
      <c r="C35" s="176"/>
      <c r="D35" s="176"/>
      <c r="E35" s="176"/>
      <c r="F35" s="176"/>
      <c r="G35" s="176"/>
      <c r="H35" s="176"/>
      <c r="I35" s="176"/>
    </row>
    <row r="36" spans="1:9">
      <c r="A36" s="176"/>
      <c r="B36" s="176"/>
      <c r="C36" s="176"/>
      <c r="D36" s="176"/>
      <c r="E36" s="176"/>
      <c r="F36" s="176"/>
      <c r="G36" s="176"/>
      <c r="H36" s="176"/>
      <c r="I36" s="176"/>
    </row>
    <row r="37" spans="1:9" ht="15.6">
      <c r="A37" s="176"/>
      <c r="B37" s="329" t="s">
        <v>70</v>
      </c>
      <c r="C37" s="329"/>
      <c r="D37" s="329"/>
      <c r="E37" s="176"/>
      <c r="F37" s="176"/>
      <c r="G37" s="176"/>
      <c r="H37" s="176"/>
      <c r="I37" s="176"/>
    </row>
    <row r="38" spans="1:9" ht="15.6">
      <c r="A38" s="176"/>
      <c r="B38" s="180" t="s">
        <v>136</v>
      </c>
      <c r="C38" s="181"/>
      <c r="D38" s="34" t="s">
        <v>137</v>
      </c>
      <c r="E38" s="176"/>
      <c r="F38" s="176"/>
      <c r="G38" s="176"/>
      <c r="H38" s="176"/>
      <c r="I38" s="176"/>
    </row>
    <row r="39" spans="1:9">
      <c r="A39" s="153"/>
      <c r="E39" s="153"/>
      <c r="F39" s="153"/>
      <c r="G39" s="153"/>
      <c r="H39" s="153"/>
      <c r="I39" s="153"/>
    </row>
    <row r="40" spans="1:9">
      <c r="A40" s="153"/>
      <c r="E40" s="153"/>
      <c r="F40" s="153"/>
      <c r="G40" s="153"/>
      <c r="H40" s="153"/>
      <c r="I40" s="153"/>
    </row>
    <row r="41" spans="1:9" ht="13.8" thickBot="1">
      <c r="A41" s="154"/>
      <c r="B41" s="154"/>
      <c r="C41" s="154"/>
      <c r="D41" s="154"/>
      <c r="E41" s="154"/>
      <c r="F41" s="154"/>
      <c r="G41" s="154"/>
      <c r="H41" s="154"/>
      <c r="I41" s="154"/>
    </row>
    <row r="42" spans="1:9">
      <c r="A42" s="153"/>
      <c r="B42" s="153"/>
      <c r="C42" s="153"/>
      <c r="D42" s="153"/>
      <c r="E42" s="153"/>
      <c r="F42" s="153"/>
      <c r="G42" s="153"/>
      <c r="H42" s="153"/>
      <c r="I42" s="153"/>
    </row>
    <row r="43" spans="1:9">
      <c r="A43" s="153"/>
      <c r="B43" s="153"/>
      <c r="C43" s="153"/>
      <c r="D43" s="153"/>
      <c r="E43" s="153"/>
      <c r="F43" s="153"/>
      <c r="G43" s="153"/>
      <c r="H43" s="153"/>
      <c r="I43" s="153"/>
    </row>
  </sheetData>
  <customSheetViews>
    <customSheetView guid="{D6DF09BD-97F5-4B8B-B461-A7BC9875A0D8}" showPageBreaks="1" printArea="1" view="pageBreakPreview">
      <selection activeCell="A3" sqref="A3:I3"/>
      <pageMargins left="0.75" right="0.75" top="1" bottom="1" header="0.5" footer="0.5"/>
      <pageSetup scale="90" orientation="portrait" horizontalDpi="1200" verticalDpi="1200" r:id="rId1"/>
      <headerFooter alignWithMargins="0"/>
    </customSheetView>
  </customSheetViews>
  <mergeCells count="9">
    <mergeCell ref="B33:D33"/>
    <mergeCell ref="B37:D37"/>
    <mergeCell ref="A16:G16"/>
    <mergeCell ref="M18:N18"/>
    <mergeCell ref="C1:I1"/>
    <mergeCell ref="A1:B1"/>
    <mergeCell ref="A2:I2"/>
    <mergeCell ref="A3:I3"/>
    <mergeCell ref="A6:I6"/>
  </mergeCells>
  <phoneticPr fontId="3" type="noConversion"/>
  <pageMargins left="0.75" right="0.75" top="1" bottom="1" header="0.5" footer="0.5"/>
  <pageSetup scale="88" orientation="portrait" horizontalDpi="1200" verticalDpi="1200"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42"/>
  <sheetViews>
    <sheetView view="pageBreakPreview" topLeftCell="A7" zoomScale="90" zoomScaleNormal="100" zoomScaleSheetLayoutView="90" workbookViewId="0">
      <selection activeCell="F18" sqref="F18:G18"/>
    </sheetView>
  </sheetViews>
  <sheetFormatPr defaultColWidth="9.109375" defaultRowHeight="13.2"/>
  <cols>
    <col min="1" max="1" width="20.5546875" style="23" customWidth="1"/>
    <col min="2" max="2" width="11.109375" style="23" customWidth="1"/>
    <col min="3" max="3" width="11.33203125" style="23" customWidth="1"/>
    <col min="4" max="4" width="10.5546875" style="23" customWidth="1"/>
    <col min="5" max="5" width="8.5546875" style="23" customWidth="1"/>
    <col min="6" max="6" width="12.33203125" style="23" customWidth="1"/>
    <col min="7" max="7" width="8.109375" style="23" customWidth="1"/>
    <col min="8" max="8" width="13.33203125" style="23" customWidth="1"/>
    <col min="9" max="16384" width="9.109375" style="23"/>
  </cols>
  <sheetData>
    <row r="1" spans="1:8" ht="53.25" customHeight="1" thickBot="1">
      <c r="A1" s="194" t="str">
        <f>Abstract!A2</f>
        <v>કામ નું નામ :</v>
      </c>
      <c r="B1" s="357" t="str">
        <f>Abstract!B2</f>
        <v xml:space="preserve">ગોળજ ગામે ઉનાળીયા ચેરમેનના ઘર થી ખૂટતા સી.સી. રસ્તાનું કામ . </v>
      </c>
      <c r="C1" s="358"/>
      <c r="D1" s="358"/>
      <c r="E1" s="358"/>
      <c r="F1" s="358"/>
      <c r="G1" s="358"/>
      <c r="H1" s="359"/>
    </row>
    <row r="2" spans="1:8" ht="33" customHeight="1" thickBot="1">
      <c r="A2" s="364" t="s">
        <v>19</v>
      </c>
      <c r="B2" s="365"/>
      <c r="C2" s="365"/>
      <c r="D2" s="365"/>
      <c r="E2" s="365"/>
      <c r="F2" s="365"/>
      <c r="G2" s="365"/>
      <c r="H2" s="366"/>
    </row>
    <row r="3" spans="1:8" ht="15">
      <c r="A3" s="367"/>
      <c r="B3" s="368"/>
      <c r="C3" s="368"/>
      <c r="D3" s="368"/>
      <c r="E3" s="368"/>
      <c r="F3" s="368"/>
      <c r="G3" s="368"/>
      <c r="H3" s="369"/>
    </row>
    <row r="4" spans="1:8" s="182" customFormat="1" ht="15" customHeight="1">
      <c r="A4" s="361" t="s">
        <v>33</v>
      </c>
      <c r="B4" s="362"/>
      <c r="C4" s="362"/>
      <c r="D4" s="362"/>
      <c r="E4" s="362"/>
      <c r="F4" s="362"/>
      <c r="G4" s="362"/>
      <c r="H4" s="363"/>
    </row>
    <row r="5" spans="1:8" s="182" customFormat="1" ht="22.2" customHeight="1">
      <c r="A5" s="195" t="s">
        <v>143</v>
      </c>
      <c r="B5" s="196" t="s">
        <v>141</v>
      </c>
      <c r="C5" s="190" t="str">
        <f>'FACE SHEET'!H39</f>
        <v>Thasra</v>
      </c>
      <c r="D5" s="192">
        <v>15</v>
      </c>
      <c r="E5" s="346" t="s">
        <v>20</v>
      </c>
      <c r="F5" s="346"/>
      <c r="G5" s="346"/>
      <c r="H5" s="347"/>
    </row>
    <row r="6" spans="1:8" s="182" customFormat="1" ht="22.2" customHeight="1">
      <c r="A6" s="191" t="str">
        <f xml:space="preserve"> C5</f>
        <v>Thasra</v>
      </c>
      <c r="B6" s="196" t="s">
        <v>141</v>
      </c>
      <c r="C6" s="196" t="s">
        <v>142</v>
      </c>
      <c r="D6" s="192">
        <v>15</v>
      </c>
      <c r="E6" s="346" t="s">
        <v>20</v>
      </c>
      <c r="F6" s="346"/>
      <c r="G6" s="346"/>
      <c r="H6" s="347"/>
    </row>
    <row r="7" spans="1:8" s="182" customFormat="1" ht="22.2" customHeight="1">
      <c r="A7" s="353" t="s">
        <v>26</v>
      </c>
      <c r="B7" s="354"/>
      <c r="C7" s="354"/>
      <c r="D7" s="192">
        <f>D5+D6</f>
        <v>30</v>
      </c>
      <c r="E7" s="346" t="s">
        <v>20</v>
      </c>
      <c r="F7" s="346"/>
      <c r="G7" s="346"/>
      <c r="H7" s="347"/>
    </row>
    <row r="8" spans="1:8" s="182" customFormat="1" ht="22.2" customHeight="1">
      <c r="A8" s="353" t="s">
        <v>24</v>
      </c>
      <c r="B8" s="354"/>
      <c r="C8" s="354"/>
      <c r="D8" s="192">
        <f>TRUNC(D7,0)</f>
        <v>30</v>
      </c>
      <c r="E8" s="346" t="s">
        <v>20</v>
      </c>
      <c r="F8" s="346"/>
      <c r="G8" s="346"/>
      <c r="H8" s="347"/>
    </row>
    <row r="9" spans="1:8">
      <c r="A9" s="343"/>
      <c r="B9" s="344"/>
      <c r="C9" s="344"/>
      <c r="D9" s="344"/>
      <c r="E9" s="344"/>
      <c r="F9" s="344"/>
      <c r="G9" s="344"/>
      <c r="H9" s="345"/>
    </row>
    <row r="10" spans="1:8" s="182" customFormat="1" ht="15" customHeight="1">
      <c r="A10" s="361" t="s">
        <v>34</v>
      </c>
      <c r="B10" s="362"/>
      <c r="C10" s="362"/>
      <c r="D10" s="362"/>
      <c r="E10" s="362"/>
      <c r="F10" s="362"/>
      <c r="G10" s="362"/>
      <c r="H10" s="363"/>
    </row>
    <row r="11" spans="1:8" s="182" customFormat="1" ht="25.2" customHeight="1">
      <c r="A11" s="360" t="s">
        <v>35</v>
      </c>
      <c r="B11" s="346"/>
      <c r="C11" s="346"/>
      <c r="D11" s="192">
        <v>5</v>
      </c>
      <c r="E11" s="346" t="s">
        <v>20</v>
      </c>
      <c r="F11" s="346"/>
      <c r="G11" s="346"/>
      <c r="H11" s="347"/>
    </row>
    <row r="12" spans="1:8" ht="15" customHeight="1">
      <c r="A12" s="343"/>
      <c r="B12" s="344"/>
      <c r="C12" s="344"/>
      <c r="D12" s="344"/>
      <c r="E12" s="344"/>
      <c r="F12" s="344"/>
      <c r="G12" s="344"/>
      <c r="H12" s="345"/>
    </row>
    <row r="13" spans="1:8" ht="15" customHeight="1">
      <c r="A13" s="340" t="s">
        <v>21</v>
      </c>
      <c r="B13" s="341"/>
      <c r="C13" s="341"/>
      <c r="D13" s="341"/>
      <c r="E13" s="341"/>
      <c r="F13" s="341"/>
      <c r="G13" s="341"/>
      <c r="H13" s="342"/>
    </row>
    <row r="14" spans="1:8" ht="15">
      <c r="A14" s="179"/>
      <c r="B14" s="176"/>
      <c r="C14" s="176"/>
      <c r="D14" s="176"/>
      <c r="E14" s="176"/>
      <c r="F14" s="176"/>
      <c r="G14" s="197"/>
      <c r="H14" s="178"/>
    </row>
    <row r="15" spans="1:8" ht="15">
      <c r="A15" s="198"/>
      <c r="B15" s="199"/>
      <c r="C15" s="199"/>
      <c r="D15" s="199"/>
      <c r="E15" s="199"/>
      <c r="F15" s="199"/>
      <c r="G15" s="197"/>
      <c r="H15" s="178"/>
    </row>
    <row r="16" spans="1:8" ht="15">
      <c r="A16" s="198"/>
      <c r="B16" s="199"/>
      <c r="C16" s="352" t="s">
        <v>55</v>
      </c>
      <c r="D16" s="352"/>
      <c r="E16" s="199"/>
      <c r="F16" s="199"/>
      <c r="G16" s="197"/>
      <c r="H16" s="178"/>
    </row>
    <row r="17" spans="1:8" ht="15">
      <c r="A17" s="198"/>
      <c r="B17" s="199"/>
      <c r="C17" s="199"/>
      <c r="D17" s="199"/>
      <c r="E17" s="199"/>
      <c r="F17" s="199"/>
      <c r="G17" s="197"/>
      <c r="H17" s="178"/>
    </row>
    <row r="18" spans="1:8" s="184" customFormat="1" ht="15.75" customHeight="1">
      <c r="A18" s="200"/>
      <c r="B18" s="201"/>
      <c r="C18" s="201"/>
      <c r="D18" s="201"/>
      <c r="E18" s="201"/>
      <c r="F18" s="356" t="s">
        <v>56</v>
      </c>
      <c r="G18" s="356"/>
      <c r="H18" s="202"/>
    </row>
    <row r="19" spans="1:8" s="184" customFormat="1" ht="15.6">
      <c r="A19" s="200"/>
      <c r="B19" s="201"/>
      <c r="C19" s="201"/>
      <c r="D19" s="201"/>
      <c r="E19" s="201"/>
      <c r="F19" s="201"/>
      <c r="G19" s="128"/>
      <c r="H19" s="202"/>
    </row>
    <row r="20" spans="1:8" s="184" customFormat="1" ht="15.6">
      <c r="A20" s="200"/>
      <c r="B20" s="201"/>
      <c r="C20" s="201"/>
      <c r="D20" s="351" t="s">
        <v>57</v>
      </c>
      <c r="E20" s="351"/>
      <c r="F20" s="201"/>
      <c r="G20" s="128"/>
      <c r="H20" s="202"/>
    </row>
    <row r="21" spans="1:8" ht="22.5" customHeight="1">
      <c r="A21" s="203"/>
      <c r="B21" s="204"/>
      <c r="C21" s="204"/>
      <c r="D21" s="348" t="s">
        <v>58</v>
      </c>
      <c r="E21" s="348"/>
      <c r="F21" s="204"/>
      <c r="G21" s="197"/>
      <c r="H21" s="178"/>
    </row>
    <row r="22" spans="1:8" ht="15">
      <c r="A22" s="203"/>
      <c r="B22" s="204"/>
      <c r="C22" s="204"/>
      <c r="D22" s="204"/>
      <c r="E22" s="204"/>
      <c r="F22" s="204"/>
      <c r="G22" s="197"/>
      <c r="H22" s="178"/>
    </row>
    <row r="23" spans="1:8" ht="15">
      <c r="A23" s="203"/>
      <c r="B23" s="204"/>
      <c r="C23" s="204"/>
      <c r="D23" s="204"/>
      <c r="E23" s="204"/>
      <c r="F23" s="355" t="s">
        <v>59</v>
      </c>
      <c r="G23" s="355"/>
      <c r="H23" s="178"/>
    </row>
    <row r="24" spans="1:8" ht="15">
      <c r="A24" s="203"/>
      <c r="B24" s="204"/>
      <c r="C24" s="204"/>
      <c r="D24" s="204"/>
      <c r="E24" s="204"/>
      <c r="F24" s="204"/>
      <c r="G24" s="197"/>
      <c r="H24" s="178"/>
    </row>
    <row r="25" spans="1:8" ht="15">
      <c r="A25" s="203"/>
      <c r="B25" s="204"/>
      <c r="C25" s="204"/>
      <c r="D25" s="204"/>
      <c r="E25" s="204"/>
      <c r="F25" s="204"/>
      <c r="G25" s="197"/>
      <c r="H25" s="178"/>
    </row>
    <row r="26" spans="1:8" ht="15">
      <c r="A26" s="203"/>
      <c r="B26" s="204"/>
      <c r="C26" s="204"/>
      <c r="D26" s="204"/>
      <c r="E26" s="204"/>
      <c r="F26" s="204"/>
      <c r="G26" s="197"/>
      <c r="H26" s="178"/>
    </row>
    <row r="27" spans="1:8" ht="15">
      <c r="A27" s="203"/>
      <c r="B27" s="204"/>
      <c r="C27" s="204"/>
      <c r="D27" s="204"/>
      <c r="E27" s="204"/>
      <c r="F27" s="204"/>
      <c r="G27" s="197"/>
      <c r="H27" s="178"/>
    </row>
    <row r="28" spans="1:8" ht="15">
      <c r="A28" s="179"/>
      <c r="B28" s="204"/>
      <c r="C28" s="204"/>
      <c r="D28" s="204"/>
      <c r="E28" s="204"/>
      <c r="F28" s="204"/>
      <c r="G28" s="197"/>
      <c r="H28" s="178"/>
    </row>
    <row r="29" spans="1:8" ht="15">
      <c r="A29" s="179"/>
      <c r="B29" s="204"/>
      <c r="C29" s="204"/>
      <c r="D29" s="204"/>
      <c r="E29" s="204"/>
      <c r="F29" s="204"/>
      <c r="G29" s="197"/>
      <c r="H29" s="178"/>
    </row>
    <row r="30" spans="1:8" ht="15">
      <c r="A30" s="179"/>
      <c r="B30" s="204"/>
      <c r="C30" s="204"/>
      <c r="D30" s="204"/>
      <c r="E30" s="204"/>
      <c r="F30" s="204"/>
      <c r="G30" s="197"/>
      <c r="H30" s="178"/>
    </row>
    <row r="31" spans="1:8" ht="15">
      <c r="A31" s="203"/>
      <c r="B31" s="204"/>
      <c r="C31" s="204"/>
      <c r="D31" s="204"/>
      <c r="E31" s="204"/>
      <c r="F31" s="204"/>
      <c r="G31" s="197"/>
      <c r="H31" s="178"/>
    </row>
    <row r="32" spans="1:8" ht="15">
      <c r="A32" s="203"/>
      <c r="B32" s="204"/>
      <c r="C32" s="204"/>
      <c r="D32" s="204"/>
      <c r="E32" s="204"/>
      <c r="F32" s="204"/>
      <c r="G32" s="197"/>
      <c r="H32" s="178"/>
    </row>
    <row r="33" spans="1:8" ht="15">
      <c r="A33" s="203"/>
      <c r="B33" s="204"/>
      <c r="C33" s="204"/>
      <c r="D33" s="204"/>
      <c r="E33" s="204"/>
      <c r="F33" s="204"/>
      <c r="G33" s="197"/>
      <c r="H33" s="178"/>
    </row>
    <row r="34" spans="1:8" ht="15">
      <c r="A34" s="203"/>
      <c r="B34" s="204"/>
      <c r="C34" s="204"/>
      <c r="D34" s="204"/>
      <c r="E34" s="204"/>
      <c r="F34" s="204"/>
      <c r="G34" s="197"/>
      <c r="H34" s="178"/>
    </row>
    <row r="35" spans="1:8" ht="15">
      <c r="A35" s="203"/>
      <c r="B35" s="204"/>
      <c r="C35" s="204"/>
      <c r="D35" s="204"/>
      <c r="E35" s="204"/>
      <c r="F35" s="204"/>
      <c r="G35" s="197"/>
      <c r="H35" s="178"/>
    </row>
    <row r="36" spans="1:8" ht="15">
      <c r="A36" s="203"/>
      <c r="B36" s="204"/>
      <c r="C36" s="204"/>
      <c r="D36" s="204"/>
      <c r="E36" s="204"/>
      <c r="F36" s="204"/>
      <c r="G36" s="197"/>
      <c r="H36" s="178"/>
    </row>
    <row r="37" spans="1:8" ht="15.6">
      <c r="A37" s="349" t="s">
        <v>70</v>
      </c>
      <c r="B37" s="350"/>
      <c r="C37" s="204"/>
      <c r="D37" s="204"/>
      <c r="E37" s="204"/>
      <c r="F37" s="204"/>
      <c r="G37" s="197"/>
      <c r="H37" s="178"/>
    </row>
    <row r="38" spans="1:8" ht="15.6">
      <c r="A38" s="205" t="s">
        <v>136</v>
      </c>
      <c r="B38" s="193" t="s">
        <v>137</v>
      </c>
      <c r="C38" s="204"/>
      <c r="D38" s="204"/>
      <c r="E38" s="204"/>
      <c r="F38" s="204"/>
      <c r="G38" s="197"/>
      <c r="H38" s="178"/>
    </row>
    <row r="39" spans="1:8">
      <c r="A39" s="185"/>
      <c r="H39" s="183"/>
    </row>
    <row r="40" spans="1:8">
      <c r="A40" s="186"/>
      <c r="H40" s="183"/>
    </row>
    <row r="41" spans="1:8">
      <c r="A41" s="186"/>
      <c r="H41" s="183"/>
    </row>
    <row r="42" spans="1:8" ht="13.8" thickBot="1">
      <c r="A42" s="187"/>
      <c r="B42" s="188"/>
      <c r="C42" s="188"/>
      <c r="D42" s="188"/>
      <c r="E42" s="188"/>
      <c r="F42" s="188"/>
      <c r="G42" s="188"/>
      <c r="H42" s="189"/>
    </row>
  </sheetData>
  <customSheetViews>
    <customSheetView guid="{D6DF09BD-97F5-4B8B-B461-A7BC9875A0D8}" scale="90" showPageBreaks="1" printArea="1" view="pageBreakPreview">
      <selection activeCell="A2" sqref="A2:H2"/>
      <pageMargins left="0.39370078740157483" right="0.39370078740157483" top="0.59055118110236227" bottom="0.39370078740157483" header="0.51181102362204722" footer="0.51181102362204722"/>
      <printOptions horizontalCentered="1"/>
      <pageSetup paperSize="9" orientation="portrait" r:id="rId1"/>
      <headerFooter alignWithMargins="0"/>
    </customSheetView>
  </customSheetViews>
  <mergeCells count="22">
    <mergeCell ref="B1:H1"/>
    <mergeCell ref="A9:H9"/>
    <mergeCell ref="A11:C11"/>
    <mergeCell ref="E11:H11"/>
    <mergeCell ref="A10:H10"/>
    <mergeCell ref="A2:H2"/>
    <mergeCell ref="E6:H6"/>
    <mergeCell ref="A3:H3"/>
    <mergeCell ref="A4:H4"/>
    <mergeCell ref="E8:H8"/>
    <mergeCell ref="A8:C8"/>
    <mergeCell ref="A13:H13"/>
    <mergeCell ref="A12:H12"/>
    <mergeCell ref="E5:H5"/>
    <mergeCell ref="D21:E21"/>
    <mergeCell ref="A37:B37"/>
    <mergeCell ref="D20:E20"/>
    <mergeCell ref="C16:D16"/>
    <mergeCell ref="A7:C7"/>
    <mergeCell ref="E7:H7"/>
    <mergeCell ref="F23:G23"/>
    <mergeCell ref="F18:G18"/>
  </mergeCells>
  <phoneticPr fontId="0" type="noConversion"/>
  <printOptions horizontalCentered="1"/>
  <pageMargins left="0.39370078740157483" right="0.39370078740157483" top="0.59055118110236227" bottom="0.39370078740157483" header="0.51181102362204722" footer="0.51181102362204722"/>
  <pageSetup paperSize="9"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30"/>
  <sheetViews>
    <sheetView view="pageBreakPreview" zoomScaleNormal="100" zoomScaleSheetLayoutView="100" workbookViewId="0">
      <selection activeCell="E24" sqref="E24"/>
    </sheetView>
  </sheetViews>
  <sheetFormatPr defaultRowHeight="13.2"/>
  <cols>
    <col min="1" max="1" width="4.33203125" style="176" customWidth="1"/>
    <col min="2" max="2" width="19.33203125" style="176" customWidth="1"/>
    <col min="3" max="3" width="6.88671875" style="176" customWidth="1"/>
    <col min="4" max="4" width="11.33203125" style="176" customWidth="1"/>
    <col min="5" max="5" width="15" style="176" customWidth="1"/>
    <col min="6" max="6" width="6.44140625" style="176" customWidth="1"/>
    <col min="7" max="7" width="7.6640625" style="176" customWidth="1"/>
    <col min="8" max="8" width="8.44140625" style="176" customWidth="1"/>
    <col min="9" max="16384" width="8.88671875" style="176"/>
  </cols>
  <sheetData>
    <row r="1" spans="1:9" ht="64.2" customHeight="1" thickBot="1">
      <c r="A1" s="370" t="str">
        <f>Abstract!A2</f>
        <v>કામ નું નામ :</v>
      </c>
      <c r="B1" s="371"/>
      <c r="C1" s="357" t="str">
        <f>Abstract!B2</f>
        <v xml:space="preserve">ગોળજ ગામે ઉનાળીયા ચેરમેનના ઘર થી ખૂટતા સી.સી. રસ્તાનું કામ . </v>
      </c>
      <c r="D1" s="358"/>
      <c r="E1" s="358"/>
      <c r="F1" s="358"/>
      <c r="G1" s="358"/>
      <c r="H1" s="358"/>
      <c r="I1" s="359"/>
    </row>
    <row r="2" spans="1:9" ht="49.2" customHeight="1" thickBot="1">
      <c r="A2" s="372" t="s">
        <v>32</v>
      </c>
      <c r="B2" s="373"/>
      <c r="C2" s="373"/>
      <c r="D2" s="373"/>
      <c r="E2" s="373"/>
      <c r="F2" s="373"/>
      <c r="G2" s="373"/>
      <c r="H2" s="373"/>
      <c r="I2" s="374"/>
    </row>
    <row r="3" spans="1:9" ht="34.5" customHeight="1">
      <c r="A3" s="206" t="s">
        <v>28</v>
      </c>
      <c r="B3" s="207" t="s">
        <v>29</v>
      </c>
      <c r="C3" s="208" t="s">
        <v>25</v>
      </c>
      <c r="D3" s="208" t="s">
        <v>30</v>
      </c>
      <c r="E3" s="208" t="s">
        <v>36</v>
      </c>
      <c r="F3" s="375" t="s">
        <v>31</v>
      </c>
      <c r="G3" s="375"/>
      <c r="H3" s="375"/>
      <c r="I3" s="209" t="s">
        <v>23</v>
      </c>
    </row>
    <row r="4" spans="1:9" ht="52.8">
      <c r="A4" s="210">
        <v>2</v>
      </c>
      <c r="B4" s="211" t="s">
        <v>113</v>
      </c>
      <c r="C4" s="237">
        <f>Lead!D8</f>
        <v>30</v>
      </c>
      <c r="D4" s="213">
        <v>417.53</v>
      </c>
      <c r="E4" s="214">
        <v>81.8</v>
      </c>
      <c r="F4" s="215">
        <v>30</v>
      </c>
      <c r="G4" s="212">
        <v>5.95</v>
      </c>
      <c r="H4" s="213">
        <f>G4*F4</f>
        <v>178.5</v>
      </c>
      <c r="I4" s="216">
        <f>D4+E4+H4</f>
        <v>677.82999999999993</v>
      </c>
    </row>
    <row r="5" spans="1:9" ht="40.5" customHeight="1">
      <c r="A5" s="210">
        <v>3</v>
      </c>
      <c r="B5" s="211" t="s">
        <v>112</v>
      </c>
      <c r="C5" s="237">
        <f>Lead!D11</f>
        <v>5</v>
      </c>
      <c r="D5" s="213">
        <v>90</v>
      </c>
      <c r="E5" s="217">
        <v>81.8</v>
      </c>
      <c r="F5" s="213">
        <v>5</v>
      </c>
      <c r="G5" s="218">
        <v>0</v>
      </c>
      <c r="H5" s="213">
        <f>TRUNC((G5*F5),2)</f>
        <v>0</v>
      </c>
      <c r="I5" s="216">
        <f>D5+E5+H5</f>
        <v>171.8</v>
      </c>
    </row>
    <row r="6" spans="1:9" ht="14.25" customHeight="1">
      <c r="A6" s="219"/>
      <c r="B6" s="220"/>
      <c r="C6" s="147"/>
      <c r="D6" s="221"/>
      <c r="E6" s="147"/>
      <c r="F6" s="221"/>
      <c r="G6" s="222"/>
      <c r="H6" s="221"/>
      <c r="I6" s="223"/>
    </row>
    <row r="7" spans="1:9" ht="14.25" customHeight="1">
      <c r="A7" s="224"/>
      <c r="B7" s="220"/>
      <c r="C7" s="225"/>
      <c r="E7" s="226" t="s">
        <v>49</v>
      </c>
      <c r="F7" s="221"/>
      <c r="G7" s="222"/>
      <c r="H7" s="379" t="s">
        <v>61</v>
      </c>
      <c r="I7" s="380"/>
    </row>
    <row r="8" spans="1:9" ht="14.25" customHeight="1">
      <c r="A8" s="381" t="s">
        <v>50</v>
      </c>
      <c r="B8" s="382"/>
      <c r="C8" s="382"/>
      <c r="D8" s="382"/>
      <c r="E8" s="227">
        <v>6.5</v>
      </c>
      <c r="F8" s="221"/>
      <c r="G8" s="222"/>
      <c r="H8" s="227">
        <v>5.85</v>
      </c>
      <c r="I8" s="228"/>
    </row>
    <row r="9" spans="1:9" ht="14.25" customHeight="1">
      <c r="A9" s="377" t="s">
        <v>51</v>
      </c>
      <c r="B9" s="378"/>
      <c r="C9" s="378"/>
      <c r="D9" s="378"/>
      <c r="E9" s="227">
        <v>5.86</v>
      </c>
      <c r="F9" s="221"/>
      <c r="G9" s="222"/>
      <c r="H9" s="227">
        <v>5.27</v>
      </c>
      <c r="I9" s="228"/>
    </row>
    <row r="10" spans="1:9" ht="14.25" customHeight="1">
      <c r="A10" s="377" t="s">
        <v>52</v>
      </c>
      <c r="B10" s="378"/>
      <c r="C10" s="378"/>
      <c r="D10" s="378"/>
      <c r="E10" s="227">
        <v>5.41</v>
      </c>
      <c r="F10" s="226"/>
      <c r="G10" s="226"/>
      <c r="H10" s="227">
        <v>4.87</v>
      </c>
      <c r="I10" s="228"/>
    </row>
    <row r="11" spans="1:9" ht="12.75" customHeight="1">
      <c r="A11" s="377" t="s">
        <v>53</v>
      </c>
      <c r="B11" s="378"/>
      <c r="C11" s="378"/>
      <c r="D11" s="378"/>
      <c r="E11" s="227">
        <v>5.35</v>
      </c>
      <c r="F11" s="226"/>
      <c r="G11" s="226"/>
      <c r="H11" s="227">
        <v>4.82</v>
      </c>
      <c r="I11" s="228"/>
    </row>
    <row r="12" spans="1:9" ht="12.75" customHeight="1">
      <c r="A12" s="377" t="s">
        <v>54</v>
      </c>
      <c r="B12" s="378"/>
      <c r="C12" s="378"/>
      <c r="D12" s="378"/>
      <c r="E12" s="227">
        <v>5.96</v>
      </c>
      <c r="H12" s="227">
        <v>5.36</v>
      </c>
      <c r="I12" s="228"/>
    </row>
    <row r="13" spans="1:9" ht="12.75" customHeight="1">
      <c r="A13" s="229"/>
      <c r="B13" s="230"/>
      <c r="C13" s="230"/>
      <c r="D13" s="230"/>
      <c r="E13" s="227"/>
      <c r="H13" s="231"/>
      <c r="I13" s="228"/>
    </row>
    <row r="14" spans="1:9" ht="12.75" customHeight="1">
      <c r="A14" s="229"/>
      <c r="B14" s="230"/>
      <c r="C14" s="230"/>
      <c r="D14" s="230"/>
      <c r="E14" s="227"/>
      <c r="H14" s="231"/>
      <c r="I14" s="228"/>
    </row>
    <row r="15" spans="1:9" ht="12.75" customHeight="1">
      <c r="A15" s="229"/>
      <c r="B15" s="230"/>
      <c r="C15" s="230"/>
      <c r="D15" s="230"/>
      <c r="E15" s="227"/>
      <c r="H15" s="231"/>
      <c r="I15" s="228"/>
    </row>
    <row r="16" spans="1:9">
      <c r="A16" s="232"/>
      <c r="D16" s="233"/>
      <c r="I16" s="178"/>
    </row>
    <row r="17" spans="1:9" ht="15.6">
      <c r="A17" s="232"/>
      <c r="B17" s="329" t="s">
        <v>70</v>
      </c>
      <c r="C17" s="329"/>
      <c r="D17" s="329"/>
      <c r="E17" s="175"/>
      <c r="F17" s="175"/>
      <c r="G17" s="175"/>
      <c r="H17" s="175"/>
      <c r="I17" s="178"/>
    </row>
    <row r="18" spans="1:9" ht="15.6">
      <c r="A18" s="179"/>
      <c r="B18" s="180" t="s">
        <v>136</v>
      </c>
      <c r="C18" s="34" t="s">
        <v>137</v>
      </c>
      <c r="D18" s="180"/>
      <c r="E18" s="175"/>
      <c r="F18" s="175"/>
      <c r="G18" s="175"/>
      <c r="H18" s="175"/>
      <c r="I18" s="178"/>
    </row>
    <row r="19" spans="1:9" ht="15">
      <c r="A19" s="179"/>
      <c r="B19" s="376"/>
      <c r="C19" s="376"/>
      <c r="D19" s="376"/>
      <c r="E19" s="175"/>
      <c r="F19" s="175"/>
      <c r="G19" s="175"/>
      <c r="H19" s="175"/>
      <c r="I19" s="178"/>
    </row>
    <row r="20" spans="1:9">
      <c r="A20" s="179"/>
      <c r="I20" s="178"/>
    </row>
    <row r="21" spans="1:9">
      <c r="A21" s="179"/>
      <c r="I21" s="178"/>
    </row>
    <row r="22" spans="1:9">
      <c r="A22" s="179"/>
      <c r="I22" s="178"/>
    </row>
    <row r="23" spans="1:9">
      <c r="A23" s="179"/>
      <c r="I23" s="178"/>
    </row>
    <row r="24" spans="1:9">
      <c r="A24" s="179"/>
      <c r="I24" s="178"/>
    </row>
    <row r="25" spans="1:9">
      <c r="A25" s="179"/>
      <c r="I25" s="178"/>
    </row>
    <row r="26" spans="1:9">
      <c r="A26" s="179"/>
      <c r="I26" s="178"/>
    </row>
    <row r="27" spans="1:9">
      <c r="A27" s="179"/>
      <c r="I27" s="178"/>
    </row>
    <row r="28" spans="1:9">
      <c r="A28" s="179"/>
      <c r="I28" s="178"/>
    </row>
    <row r="29" spans="1:9">
      <c r="A29" s="179"/>
      <c r="I29" s="178"/>
    </row>
    <row r="30" spans="1:9" ht="13.8" thickBot="1">
      <c r="A30" s="234"/>
      <c r="B30" s="235"/>
      <c r="C30" s="235"/>
      <c r="D30" s="235"/>
      <c r="E30" s="235"/>
      <c r="F30" s="235"/>
      <c r="G30" s="235"/>
      <c r="H30" s="235"/>
      <c r="I30" s="236"/>
    </row>
  </sheetData>
  <customSheetViews>
    <customSheetView guid="{D6DF09BD-97F5-4B8B-B461-A7BC9875A0D8}" showPageBreaks="1" printArea="1" view="pageBreakPreview">
      <selection activeCell="A2" sqref="A2:I2"/>
      <pageMargins left="0.39370078740157483" right="0.39370078740157483" top="0.59055118110236227" bottom="0.39370078740157483" header="0.51181102362204722" footer="0.51181102362204722"/>
      <printOptions horizontalCentered="1"/>
      <pageSetup orientation="portrait" horizontalDpi="300" verticalDpi="300" r:id="rId1"/>
      <headerFooter alignWithMargins="0"/>
    </customSheetView>
  </customSheetViews>
  <mergeCells count="12">
    <mergeCell ref="B19:D19"/>
    <mergeCell ref="A11:D11"/>
    <mergeCell ref="A12:D12"/>
    <mergeCell ref="H7:I7"/>
    <mergeCell ref="A8:D8"/>
    <mergeCell ref="A9:D9"/>
    <mergeCell ref="A10:D10"/>
    <mergeCell ref="C1:I1"/>
    <mergeCell ref="A1:B1"/>
    <mergeCell ref="A2:I2"/>
    <mergeCell ref="F3:H3"/>
    <mergeCell ref="B17:D17"/>
  </mergeCells>
  <phoneticPr fontId="3" type="noConversion"/>
  <printOptions horizontalCentered="1"/>
  <pageMargins left="0.39370078740157483" right="0.39370078740157483" top="0.59055118110236227" bottom="0.39370078740157483" header="0.51181102362204722" footer="0.51181102362204722"/>
  <pageSetup orientation="portrait" horizontalDpi="300" verticalDpi="300"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FACE SHEET</vt:lpstr>
      <vt:lpstr>Abstract</vt:lpstr>
      <vt:lpstr>Measurement</vt:lpstr>
      <vt:lpstr>RA</vt:lpstr>
      <vt:lpstr>Lead</vt:lpstr>
      <vt:lpstr>Schedule</vt:lpstr>
      <vt:lpstr>Abstract!Print_Area</vt:lpstr>
      <vt:lpstr>'FACE SHEET'!Print_Area</vt:lpstr>
      <vt:lpstr>Lead!Print_Area</vt:lpstr>
      <vt:lpstr>Measurement!Print_Area</vt:lpstr>
      <vt:lpstr>RA!Print_Area</vt:lpstr>
      <vt:lpstr>Schedule!Print_Area</vt:lpstr>
    </vt:vector>
  </TitlesOfParts>
  <Company>PATEL ENGINEERS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DIVYAKANT</dc:creator>
  <cp:lastModifiedBy>vanraj2592@outlook.com</cp:lastModifiedBy>
  <cp:lastPrinted>2025-05-09T11:51:17Z</cp:lastPrinted>
  <dcterms:created xsi:type="dcterms:W3CDTF">2005-03-18T12:02:53Z</dcterms:created>
  <dcterms:modified xsi:type="dcterms:W3CDTF">2026-10-04T15:53:18Z</dcterms:modified>
</cp:coreProperties>
</file>